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rdih\Study\City_St_George\CP2_SMM092_Modelling\Resit\Drafts\"/>
    </mc:Choice>
  </mc:AlternateContent>
  <xr:revisionPtr revIDLastSave="0" documentId="8_{974B7E7B-0D2C-4361-8AC6-F2EAE56E6CC4}" xr6:coauthVersionLast="47" xr6:coauthVersionMax="47" xr10:uidLastSave="{00000000-0000-0000-0000-000000000000}"/>
  <bookViews>
    <workbookView xWindow="-108" yWindow="-108" windowWidth="23256" windowHeight="13176" tabRatio="500" firstSheet="3" activeTab="3" xr2:uid="{00000000-000D-0000-FFFF-FFFF00000000}"/>
  </bookViews>
  <sheets>
    <sheet name="Cover" sheetId="1" r:id="rId1"/>
    <sheet name="Raw Data" sheetId="2" r:id="rId2"/>
    <sheet name="Data Validation" sheetId="3" r:id="rId3"/>
    <sheet name="Parameters" sheetId="4" r:id="rId4"/>
    <sheet name="Dev Factors" sheetId="5" r:id="rId5"/>
    <sheet name="S1 Chain Ladder" sheetId="6" r:id="rId6"/>
    <sheet name="On-Level &amp; Cred" sheetId="7" r:id="rId7"/>
    <sheet name="S2 Expected Claims" sheetId="8" r:id="rId8"/>
    <sheet name="S3 BF" sheetId="9" r:id="rId9"/>
    <sheet name="Extension" sheetId="10" r:id="rId10"/>
    <sheet name="ADC" sheetId="11" r:id="rId11"/>
    <sheet name="Summary" sheetId="12" r:id="rId12"/>
    <sheet name="Checks" sheetId="13" r:id="rId13"/>
    <sheet name="Audit Trail" sheetId="14" r:id="rId14"/>
  </sheets>
  <definedNames>
    <definedName name="ADC_att">Parameters!$C$40</definedName>
    <definedName name="ADC_exh">Parameters!$C$41</definedName>
    <definedName name="ADC_rol">Parameters!$C$42</definedName>
    <definedName name="Cred_full">Parameters!$C$25:$E$25</definedName>
    <definedName name="Cred_mature">Parameters!$C$26:$E$26</definedName>
    <definedName name="Disc_rate">Parameters!$C$18</definedName>
    <definedName name="Exp_ratio">Parameters!$C$11:$E$11</definedName>
    <definedName name="Ext_shock">Parameters!$C$34</definedName>
    <definedName name="Ext_tail">Parameters!$C$32:$E$32</definedName>
    <definedName name="Ext_taillag">Parameters!$C$33</definedName>
    <definedName name="Loss_trend">Parameters!$C$17</definedName>
    <definedName name="Plan_LR">Parameters!$C$24:$E$24</definedName>
    <definedName name="Val_rate_max">Parameters!$C$50</definedName>
    <definedName name="Val_rate_min">Parameters!$C$49</definedName>
    <definedName name="Val_ratio_max">Parameters!$C$48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67" i="12" l="1"/>
  <c r="G42" i="12"/>
  <c r="C42" i="12"/>
  <c r="C43" i="12" s="1"/>
  <c r="G41" i="12"/>
  <c r="C41" i="12"/>
  <c r="G40" i="12"/>
  <c r="C40" i="12"/>
  <c r="C96" i="11"/>
  <c r="C135" i="10"/>
  <c r="F131" i="10"/>
  <c r="I130" i="10"/>
  <c r="I129" i="10"/>
  <c r="F128" i="10"/>
  <c r="F126" i="10"/>
  <c r="C108" i="10"/>
  <c r="H109" i="10" s="1"/>
  <c r="H107" i="10"/>
  <c r="I81" i="10"/>
  <c r="I79" i="10"/>
  <c r="I78" i="10"/>
  <c r="F77" i="10"/>
  <c r="C59" i="10"/>
  <c r="H58" i="10"/>
  <c r="H60" i="10" s="1"/>
  <c r="C37" i="10"/>
  <c r="F32" i="10"/>
  <c r="F31" i="10"/>
  <c r="F29" i="10"/>
  <c r="C10" i="10"/>
  <c r="H9" i="10"/>
  <c r="H11" i="10" s="1"/>
  <c r="D39" i="8"/>
  <c r="D36" i="8"/>
  <c r="D34" i="8"/>
  <c r="D26" i="8"/>
  <c r="D23" i="8"/>
  <c r="D21" i="8"/>
  <c r="D9" i="8"/>
  <c r="C66" i="7"/>
  <c r="C64" i="7"/>
  <c r="K57" i="7"/>
  <c r="I131" i="10" s="1"/>
  <c r="H57" i="7"/>
  <c r="F57" i="7"/>
  <c r="K56" i="7"/>
  <c r="H56" i="7"/>
  <c r="F130" i="10" s="1"/>
  <c r="F56" i="7"/>
  <c r="K55" i="7"/>
  <c r="H55" i="7"/>
  <c r="D37" i="8" s="1"/>
  <c r="F55" i="7"/>
  <c r="K54" i="7"/>
  <c r="I128" i="10" s="1"/>
  <c r="H54" i="7"/>
  <c r="F54" i="7"/>
  <c r="K53" i="7"/>
  <c r="H53" i="7"/>
  <c r="F53" i="7"/>
  <c r="K52" i="7"/>
  <c r="I126" i="10" s="1"/>
  <c r="H52" i="7"/>
  <c r="F52" i="7"/>
  <c r="C44" i="7"/>
  <c r="C86" i="10" s="1"/>
  <c r="C42" i="7"/>
  <c r="C41" i="7"/>
  <c r="C43" i="7" s="1"/>
  <c r="K35" i="7"/>
  <c r="I82" i="10" s="1"/>
  <c r="H35" i="7"/>
  <c r="F82" i="10" s="1"/>
  <c r="F35" i="7"/>
  <c r="K34" i="7"/>
  <c r="H34" i="7"/>
  <c r="D25" i="8" s="1"/>
  <c r="F34" i="7"/>
  <c r="K33" i="7"/>
  <c r="I80" i="10" s="1"/>
  <c r="H33" i="7"/>
  <c r="F80" i="10" s="1"/>
  <c r="F33" i="7"/>
  <c r="K32" i="7"/>
  <c r="H32" i="7"/>
  <c r="F79" i="10" s="1"/>
  <c r="F32" i="7"/>
  <c r="K31" i="7"/>
  <c r="H31" i="7"/>
  <c r="F31" i="7"/>
  <c r="K30" i="7"/>
  <c r="I77" i="10" s="1"/>
  <c r="H30" i="7"/>
  <c r="F30" i="7"/>
  <c r="C22" i="7"/>
  <c r="C20" i="7"/>
  <c r="K13" i="7"/>
  <c r="I33" i="10" s="1"/>
  <c r="H13" i="7"/>
  <c r="F33" i="10" s="1"/>
  <c r="F13" i="7"/>
  <c r="K12" i="7"/>
  <c r="I32" i="10" s="1"/>
  <c r="H12" i="7"/>
  <c r="D12" i="8" s="1"/>
  <c r="F12" i="7"/>
  <c r="K11" i="7"/>
  <c r="I31" i="10" s="1"/>
  <c r="H11" i="7"/>
  <c r="D11" i="8" s="1"/>
  <c r="F11" i="7"/>
  <c r="K10" i="7"/>
  <c r="I30" i="10" s="1"/>
  <c r="H10" i="7"/>
  <c r="F10" i="7"/>
  <c r="K9" i="7"/>
  <c r="I29" i="10" s="1"/>
  <c r="H9" i="7"/>
  <c r="F9" i="7"/>
  <c r="K8" i="7"/>
  <c r="H8" i="7"/>
  <c r="F28" i="10" s="1"/>
  <c r="F8" i="7"/>
  <c r="E33" i="6"/>
  <c r="D34" i="9" s="1"/>
  <c r="E34" i="9" s="1"/>
  <c r="E20" i="6"/>
  <c r="D21" i="9" s="1"/>
  <c r="E21" i="9" s="1"/>
  <c r="E7" i="6"/>
  <c r="D8" i="9" s="1"/>
  <c r="E8" i="9" s="1"/>
  <c r="H46" i="5"/>
  <c r="E54" i="12" s="1"/>
  <c r="H31" i="5"/>
  <c r="D54" i="12" s="1"/>
  <c r="H16" i="5"/>
  <c r="C54" i="12" s="1"/>
  <c r="D79" i="3"/>
  <c r="I72" i="3"/>
  <c r="M72" i="3" s="1"/>
  <c r="C57" i="7" s="1"/>
  <c r="E72" i="3"/>
  <c r="D72" i="3"/>
  <c r="H72" i="3" s="1"/>
  <c r="L72" i="3" s="1"/>
  <c r="C35" i="7" s="1"/>
  <c r="C72" i="3"/>
  <c r="G72" i="3" s="1"/>
  <c r="K72" i="3" s="1"/>
  <c r="C13" i="7" s="1"/>
  <c r="H71" i="3"/>
  <c r="L71" i="3" s="1"/>
  <c r="C34" i="7" s="1"/>
  <c r="G71" i="3"/>
  <c r="K71" i="3" s="1"/>
  <c r="C12" i="7" s="1"/>
  <c r="E71" i="3"/>
  <c r="I71" i="3" s="1"/>
  <c r="M71" i="3" s="1"/>
  <c r="C56" i="7" s="1"/>
  <c r="D71" i="3"/>
  <c r="C71" i="3"/>
  <c r="L70" i="3"/>
  <c r="C33" i="7" s="1"/>
  <c r="H70" i="3"/>
  <c r="G70" i="3"/>
  <c r="K70" i="3" s="1"/>
  <c r="C11" i="7" s="1"/>
  <c r="E70" i="3"/>
  <c r="I70" i="3" s="1"/>
  <c r="M70" i="3" s="1"/>
  <c r="C55" i="7" s="1"/>
  <c r="D70" i="3"/>
  <c r="C70" i="3"/>
  <c r="E69" i="3"/>
  <c r="I69" i="3" s="1"/>
  <c r="M69" i="3" s="1"/>
  <c r="C54" i="7" s="1"/>
  <c r="D69" i="3"/>
  <c r="H69" i="3" s="1"/>
  <c r="L69" i="3" s="1"/>
  <c r="C32" i="7" s="1"/>
  <c r="C69" i="3"/>
  <c r="G69" i="3" s="1"/>
  <c r="K69" i="3" s="1"/>
  <c r="C10" i="7" s="1"/>
  <c r="M68" i="3"/>
  <c r="C53" i="7" s="1"/>
  <c r="I68" i="3"/>
  <c r="H68" i="3"/>
  <c r="L68" i="3" s="1"/>
  <c r="C31" i="7" s="1"/>
  <c r="E68" i="3"/>
  <c r="D68" i="3"/>
  <c r="C68" i="3"/>
  <c r="G68" i="3" s="1"/>
  <c r="K68" i="3" s="1"/>
  <c r="C9" i="7" s="1"/>
  <c r="L67" i="3"/>
  <c r="C30" i="7" s="1"/>
  <c r="D30" i="7" s="1"/>
  <c r="D31" i="7" s="1"/>
  <c r="H67" i="3"/>
  <c r="E67" i="3"/>
  <c r="I67" i="3" s="1"/>
  <c r="M67" i="3" s="1"/>
  <c r="C52" i="7" s="1"/>
  <c r="D52" i="7" s="1"/>
  <c r="D67" i="3"/>
  <c r="C67" i="3"/>
  <c r="G67" i="3" s="1"/>
  <c r="C55" i="3"/>
  <c r="J55" i="3" s="1"/>
  <c r="K54" i="3"/>
  <c r="D54" i="3"/>
  <c r="C54" i="3"/>
  <c r="J54" i="3" s="1"/>
  <c r="Z53" i="3"/>
  <c r="S53" i="3"/>
  <c r="R53" i="3"/>
  <c r="Q53" i="3"/>
  <c r="L53" i="3"/>
  <c r="K53" i="3"/>
  <c r="Y53" i="3" s="1"/>
  <c r="C41" i="5" s="1"/>
  <c r="J53" i="3"/>
  <c r="X53" i="3" s="1"/>
  <c r="E53" i="3"/>
  <c r="D53" i="3"/>
  <c r="C53" i="3"/>
  <c r="F52" i="3"/>
  <c r="M52" i="3" s="1"/>
  <c r="E52" i="3"/>
  <c r="L52" i="3" s="1"/>
  <c r="D52" i="3"/>
  <c r="C52" i="3"/>
  <c r="J52" i="3" s="1"/>
  <c r="K51" i="3"/>
  <c r="Y51" i="3" s="1"/>
  <c r="G51" i="3"/>
  <c r="N51" i="3" s="1"/>
  <c r="U51" i="3" s="1"/>
  <c r="F51" i="3"/>
  <c r="E51" i="3"/>
  <c r="D51" i="3"/>
  <c r="L51" i="3" s="1"/>
  <c r="C51" i="3"/>
  <c r="J51" i="3" s="1"/>
  <c r="L50" i="3"/>
  <c r="K50" i="3"/>
  <c r="J50" i="3"/>
  <c r="H50" i="3"/>
  <c r="O50" i="3" s="1"/>
  <c r="G50" i="3"/>
  <c r="N50" i="3" s="1"/>
  <c r="F50" i="3"/>
  <c r="M50" i="3" s="1"/>
  <c r="AA50" i="3" s="1"/>
  <c r="E50" i="3"/>
  <c r="D50" i="3"/>
  <c r="C50" i="3"/>
  <c r="C39" i="3"/>
  <c r="J39" i="3" s="1"/>
  <c r="X38" i="3"/>
  <c r="Q38" i="3"/>
  <c r="J38" i="3"/>
  <c r="D38" i="3"/>
  <c r="K38" i="3" s="1"/>
  <c r="C38" i="3"/>
  <c r="E37" i="3"/>
  <c r="D37" i="3"/>
  <c r="L37" i="3" s="1"/>
  <c r="C37" i="3"/>
  <c r="J37" i="3" s="1"/>
  <c r="Y36" i="3"/>
  <c r="X36" i="3"/>
  <c r="R36" i="3"/>
  <c r="M36" i="3"/>
  <c r="AA36" i="3" s="1"/>
  <c r="J36" i="3"/>
  <c r="Q36" i="3" s="1"/>
  <c r="F36" i="3"/>
  <c r="E36" i="3"/>
  <c r="L36" i="3" s="1"/>
  <c r="Z36" i="3" s="1"/>
  <c r="D25" i="5" s="1"/>
  <c r="D36" i="3"/>
  <c r="K36" i="3" s="1"/>
  <c r="C36" i="3"/>
  <c r="Q35" i="3"/>
  <c r="L35" i="3"/>
  <c r="J35" i="3"/>
  <c r="X35" i="3" s="1"/>
  <c r="G35" i="3"/>
  <c r="N35" i="3" s="1"/>
  <c r="F35" i="3"/>
  <c r="E35" i="3"/>
  <c r="M35" i="3" s="1"/>
  <c r="AA35" i="3" s="1"/>
  <c r="D35" i="3"/>
  <c r="K35" i="3" s="1"/>
  <c r="R35" i="3" s="1"/>
  <c r="C35" i="3"/>
  <c r="AA34" i="3"/>
  <c r="U34" i="3"/>
  <c r="T34" i="3"/>
  <c r="N34" i="3"/>
  <c r="AB34" i="3" s="1"/>
  <c r="M34" i="3"/>
  <c r="H34" i="3"/>
  <c r="O34" i="3" s="1"/>
  <c r="G34" i="3"/>
  <c r="F34" i="3"/>
  <c r="E34" i="3"/>
  <c r="D34" i="3"/>
  <c r="C34" i="3"/>
  <c r="J34" i="3" s="1"/>
  <c r="J23" i="3"/>
  <c r="Q23" i="3" s="1"/>
  <c r="C23" i="3"/>
  <c r="K22" i="3"/>
  <c r="D22" i="3"/>
  <c r="C22" i="3"/>
  <c r="J22" i="3" s="1"/>
  <c r="X22" i="3" s="1"/>
  <c r="L21" i="3"/>
  <c r="S21" i="3" s="1"/>
  <c r="K21" i="3"/>
  <c r="J21" i="3"/>
  <c r="X21" i="3" s="1"/>
  <c r="E21" i="3"/>
  <c r="D21" i="3"/>
  <c r="C21" i="3"/>
  <c r="F20" i="3"/>
  <c r="M20" i="3" s="1"/>
  <c r="E20" i="3"/>
  <c r="L20" i="3" s="1"/>
  <c r="D20" i="3"/>
  <c r="C20" i="3"/>
  <c r="J20" i="3" s="1"/>
  <c r="X19" i="3"/>
  <c r="R19" i="3"/>
  <c r="L19" i="3"/>
  <c r="Z19" i="3" s="1"/>
  <c r="D9" i="5" s="1"/>
  <c r="K19" i="3"/>
  <c r="Y19" i="3" s="1"/>
  <c r="C9" i="5" s="1"/>
  <c r="G19" i="3"/>
  <c r="F19" i="3"/>
  <c r="M19" i="3" s="1"/>
  <c r="E19" i="3"/>
  <c r="D19" i="3"/>
  <c r="C19" i="3"/>
  <c r="J19" i="3" s="1"/>
  <c r="Q19" i="3" s="1"/>
  <c r="J18" i="3"/>
  <c r="H18" i="3"/>
  <c r="O18" i="3" s="1"/>
  <c r="G18" i="3"/>
  <c r="N18" i="3" s="1"/>
  <c r="F18" i="3"/>
  <c r="M18" i="3" s="1"/>
  <c r="AA18" i="3" s="1"/>
  <c r="E18" i="3"/>
  <c r="D18" i="3"/>
  <c r="L18" i="3" s="1"/>
  <c r="C18" i="3"/>
  <c r="Z37" i="3" l="1"/>
  <c r="S37" i="3"/>
  <c r="S20" i="3"/>
  <c r="Z20" i="3"/>
  <c r="E9" i="13"/>
  <c r="K67" i="3"/>
  <c r="Z52" i="3"/>
  <c r="S52" i="3"/>
  <c r="D32" i="7"/>
  <c r="D33" i="7" s="1"/>
  <c r="D34" i="7" s="1"/>
  <c r="D35" i="7" s="1"/>
  <c r="V50" i="3"/>
  <c r="AC50" i="3"/>
  <c r="AC34" i="3"/>
  <c r="V34" i="3"/>
  <c r="V41" i="3" s="1"/>
  <c r="T20" i="3"/>
  <c r="Y38" i="3"/>
  <c r="R38" i="3"/>
  <c r="AA52" i="3"/>
  <c r="T52" i="3"/>
  <c r="Z18" i="3"/>
  <c r="S18" i="3"/>
  <c r="E8" i="5"/>
  <c r="AB35" i="3"/>
  <c r="U35" i="3"/>
  <c r="V18" i="3"/>
  <c r="AC18" i="3"/>
  <c r="X39" i="3"/>
  <c r="D25" i="6" s="1"/>
  <c r="Q39" i="3"/>
  <c r="X52" i="3"/>
  <c r="Q52" i="3"/>
  <c r="C85" i="10"/>
  <c r="Q20" i="3"/>
  <c r="X20" i="3"/>
  <c r="S51" i="3"/>
  <c r="Z51" i="3"/>
  <c r="D39" i="5" s="1"/>
  <c r="AB18" i="3"/>
  <c r="U18" i="3"/>
  <c r="Q34" i="3"/>
  <c r="X34" i="3"/>
  <c r="U50" i="3"/>
  <c r="AB50" i="3"/>
  <c r="T19" i="3"/>
  <c r="AA19" i="3"/>
  <c r="E9" i="5" s="1"/>
  <c r="N19" i="3"/>
  <c r="M51" i="3"/>
  <c r="D22" i="6"/>
  <c r="E25" i="5"/>
  <c r="K34" i="3"/>
  <c r="S36" i="3"/>
  <c r="T36" i="3"/>
  <c r="Z21" i="3"/>
  <c r="D28" i="10"/>
  <c r="H12" i="10"/>
  <c r="X55" i="3"/>
  <c r="D38" i="6" s="1"/>
  <c r="Q55" i="3"/>
  <c r="T18" i="3"/>
  <c r="F127" i="10"/>
  <c r="D35" i="8"/>
  <c r="D13" i="8"/>
  <c r="Y54" i="3"/>
  <c r="R54" i="3"/>
  <c r="F23" i="5"/>
  <c r="F30" i="10"/>
  <c r="D10" i="8"/>
  <c r="Q22" i="3"/>
  <c r="T35" i="3"/>
  <c r="U41" i="3" s="1"/>
  <c r="S50" i="3"/>
  <c r="R51" i="3"/>
  <c r="R21" i="3"/>
  <c r="AB51" i="3"/>
  <c r="X50" i="3"/>
  <c r="Q50" i="3"/>
  <c r="H110" i="10"/>
  <c r="D126" i="10"/>
  <c r="K18" i="3"/>
  <c r="Y35" i="3"/>
  <c r="C24" i="5" s="1"/>
  <c r="C63" i="7"/>
  <c r="C65" i="7" s="1"/>
  <c r="C59" i="7"/>
  <c r="I127" i="10"/>
  <c r="C19" i="7"/>
  <c r="C21" i="7" s="1"/>
  <c r="C15" i="7"/>
  <c r="I28" i="10"/>
  <c r="E10" i="13"/>
  <c r="Q18" i="3"/>
  <c r="Q21" i="3"/>
  <c r="D36" i="6"/>
  <c r="D41" i="5"/>
  <c r="C25" i="5"/>
  <c r="K52" i="3"/>
  <c r="C39" i="5"/>
  <c r="S19" i="3"/>
  <c r="X54" i="3"/>
  <c r="Q54" i="3"/>
  <c r="X37" i="3"/>
  <c r="Q37" i="3"/>
  <c r="X18" i="3"/>
  <c r="Y22" i="3"/>
  <c r="R22" i="3"/>
  <c r="S35" i="3"/>
  <c r="R50" i="3"/>
  <c r="T50" i="3"/>
  <c r="X23" i="3"/>
  <c r="D12" i="6" s="1"/>
  <c r="D53" i="7"/>
  <c r="D54" i="7" s="1"/>
  <c r="D55" i="7" s="1"/>
  <c r="D56" i="7" s="1"/>
  <c r="D57" i="7" s="1"/>
  <c r="D22" i="8"/>
  <c r="F78" i="10"/>
  <c r="D8" i="8"/>
  <c r="K20" i="3"/>
  <c r="M25" i="3" s="1"/>
  <c r="L34" i="3"/>
  <c r="K37" i="3"/>
  <c r="X51" i="3"/>
  <c r="Q51" i="3"/>
  <c r="C37" i="7"/>
  <c r="F129" i="10"/>
  <c r="H61" i="10"/>
  <c r="D77" i="10"/>
  <c r="F81" i="10"/>
  <c r="D24" i="8"/>
  <c r="D38" i="8"/>
  <c r="T51" i="3" l="1"/>
  <c r="AA51" i="3"/>
  <c r="T57" i="3"/>
  <c r="D18" i="10"/>
  <c r="E18" i="10" s="1"/>
  <c r="I13" i="10"/>
  <c r="AB19" i="3"/>
  <c r="U19" i="3"/>
  <c r="V25" i="3" s="1"/>
  <c r="D24" i="6"/>
  <c r="C27" i="5"/>
  <c r="C42" i="5"/>
  <c r="D37" i="6"/>
  <c r="M57" i="3"/>
  <c r="R18" i="3"/>
  <c r="R25" i="3" s="1"/>
  <c r="Y21" i="3" s="1"/>
  <c r="C11" i="5" s="1"/>
  <c r="Y18" i="3"/>
  <c r="Y37" i="3"/>
  <c r="C26" i="5" s="1"/>
  <c r="R37" i="3"/>
  <c r="G23" i="8"/>
  <c r="C23" i="9"/>
  <c r="C79" i="10"/>
  <c r="S34" i="3"/>
  <c r="Z34" i="3"/>
  <c r="D116" i="10"/>
  <c r="E116" i="10" s="1"/>
  <c r="I111" i="10"/>
  <c r="D20" i="6"/>
  <c r="G23" i="5"/>
  <c r="G29" i="5"/>
  <c r="G30" i="5" s="1"/>
  <c r="G26" i="8"/>
  <c r="C82" i="10"/>
  <c r="C26" i="9"/>
  <c r="G44" i="5"/>
  <c r="G45" i="5" s="1"/>
  <c r="D33" i="6"/>
  <c r="G38" i="5"/>
  <c r="T25" i="3"/>
  <c r="AA20" i="3" s="1"/>
  <c r="F38" i="5"/>
  <c r="D34" i="6"/>
  <c r="F39" i="5"/>
  <c r="U57" i="3"/>
  <c r="G14" i="5"/>
  <c r="G15" i="5" s="1"/>
  <c r="G8" i="5"/>
  <c r="D7" i="6"/>
  <c r="V57" i="3"/>
  <c r="G37" i="8"/>
  <c r="C129" i="10"/>
  <c r="C37" i="9"/>
  <c r="G39" i="8"/>
  <c r="C131" i="10"/>
  <c r="C39" i="9"/>
  <c r="E33" i="7"/>
  <c r="G33" i="7" s="1"/>
  <c r="E35" i="7"/>
  <c r="E32" i="7"/>
  <c r="G32" i="7" s="1"/>
  <c r="E31" i="7"/>
  <c r="G31" i="7" s="1"/>
  <c r="E30" i="7"/>
  <c r="G30" i="7" s="1"/>
  <c r="E34" i="7"/>
  <c r="G34" i="7" s="1"/>
  <c r="Y52" i="3"/>
  <c r="C40" i="5" s="1"/>
  <c r="R52" i="3"/>
  <c r="S57" i="3" s="1"/>
  <c r="E57" i="7"/>
  <c r="E54" i="7"/>
  <c r="G54" i="7" s="1"/>
  <c r="E55" i="7"/>
  <c r="G55" i="7" s="1"/>
  <c r="E53" i="7"/>
  <c r="G53" i="7" s="1"/>
  <c r="E56" i="7"/>
  <c r="G56" i="7" s="1"/>
  <c r="E52" i="7"/>
  <c r="G52" i="7" s="1"/>
  <c r="M41" i="3"/>
  <c r="D40" i="5"/>
  <c r="F24" i="5"/>
  <c r="D21" i="6"/>
  <c r="F8" i="5"/>
  <c r="F29" i="5"/>
  <c r="Y20" i="3"/>
  <c r="C10" i="5" s="1"/>
  <c r="R20" i="3"/>
  <c r="E8" i="13"/>
  <c r="D10" i="6"/>
  <c r="E13" i="13"/>
  <c r="C8" i="7"/>
  <c r="D8" i="7" s="1"/>
  <c r="D9" i="7" s="1"/>
  <c r="D10" i="7" s="1"/>
  <c r="D11" i="7" s="1"/>
  <c r="D12" i="7" s="1"/>
  <c r="D13" i="7" s="1"/>
  <c r="U25" i="3"/>
  <c r="D67" i="10"/>
  <c r="E67" i="10" s="1"/>
  <c r="I62" i="10"/>
  <c r="C36" i="10"/>
  <c r="D10" i="5"/>
  <c r="G13" i="8"/>
  <c r="C33" i="10"/>
  <c r="C13" i="9"/>
  <c r="Y34" i="3"/>
  <c r="R34" i="3"/>
  <c r="C12" i="5"/>
  <c r="D11" i="6"/>
  <c r="C134" i="10"/>
  <c r="D35" i="6"/>
  <c r="E40" i="5"/>
  <c r="D23" i="6"/>
  <c r="G107" i="10" l="1"/>
  <c r="G109" i="10" s="1"/>
  <c r="G46" i="5"/>
  <c r="E53" i="12" s="1"/>
  <c r="E34" i="6"/>
  <c r="D35" i="9" s="1"/>
  <c r="E35" i="9" s="1"/>
  <c r="D9" i="6"/>
  <c r="E10" i="5"/>
  <c r="C34" i="9"/>
  <c r="C126" i="10"/>
  <c r="D39" i="6"/>
  <c r="G34" i="8"/>
  <c r="H33" i="6"/>
  <c r="F33" i="6"/>
  <c r="D26" i="5"/>
  <c r="C78" i="10"/>
  <c r="G22" i="8"/>
  <c r="F21" i="6"/>
  <c r="H21" i="6" s="1"/>
  <c r="C22" i="9"/>
  <c r="H130" i="10"/>
  <c r="C38" i="8"/>
  <c r="C8" i="5"/>
  <c r="C14" i="5"/>
  <c r="C69" i="7"/>
  <c r="E19" i="13" s="1"/>
  <c r="G57" i="7"/>
  <c r="R57" i="3"/>
  <c r="Y50" i="3" s="1"/>
  <c r="C25" i="9"/>
  <c r="G25" i="8"/>
  <c r="C81" i="10"/>
  <c r="H129" i="10"/>
  <c r="C37" i="8"/>
  <c r="C36" i="8"/>
  <c r="H128" i="10"/>
  <c r="D14" i="5"/>
  <c r="R41" i="3"/>
  <c r="C31" i="10"/>
  <c r="G11" i="8"/>
  <c r="C11" i="9"/>
  <c r="C8" i="9"/>
  <c r="C28" i="10"/>
  <c r="G8" i="8"/>
  <c r="H7" i="6"/>
  <c r="F7" i="6"/>
  <c r="D8" i="6"/>
  <c r="F9" i="5"/>
  <c r="C23" i="5"/>
  <c r="C29" i="5"/>
  <c r="H32" i="5" s="1"/>
  <c r="E15" i="13" s="1"/>
  <c r="D11" i="5"/>
  <c r="H81" i="10"/>
  <c r="C25" i="8"/>
  <c r="K116" i="10"/>
  <c r="L116" i="10" s="1"/>
  <c r="M116" i="10" s="1"/>
  <c r="N116" i="10" s="1"/>
  <c r="D142" i="10" s="1"/>
  <c r="K118" i="10"/>
  <c r="K120" i="10"/>
  <c r="K119" i="10"/>
  <c r="K121" i="10"/>
  <c r="K117" i="10"/>
  <c r="H127" i="10"/>
  <c r="C35" i="8"/>
  <c r="F15" i="5"/>
  <c r="G9" i="10"/>
  <c r="G11" i="10" s="1"/>
  <c r="E8" i="6"/>
  <c r="D9" i="9" s="1"/>
  <c r="E9" i="9" s="1"/>
  <c r="G16" i="5"/>
  <c r="C53" i="12" s="1"/>
  <c r="E14" i="5"/>
  <c r="C21" i="9"/>
  <c r="D26" i="6"/>
  <c r="F20" i="6"/>
  <c r="C77" i="10"/>
  <c r="H20" i="6"/>
  <c r="G21" i="8"/>
  <c r="C32" i="10"/>
  <c r="C12" i="9"/>
  <c r="G12" i="8"/>
  <c r="G31" i="5"/>
  <c r="D53" i="12" s="1"/>
  <c r="F30" i="5"/>
  <c r="G58" i="10"/>
  <c r="G60" i="10" s="1"/>
  <c r="E21" i="6"/>
  <c r="D22" i="9" s="1"/>
  <c r="E22" i="9" s="1"/>
  <c r="H77" i="10"/>
  <c r="C21" i="8"/>
  <c r="C39" i="7"/>
  <c r="C47" i="7"/>
  <c r="E18" i="13" s="1"/>
  <c r="G35" i="7"/>
  <c r="E39" i="5"/>
  <c r="C147" i="10"/>
  <c r="K71" i="10"/>
  <c r="K68" i="10"/>
  <c r="K72" i="10"/>
  <c r="K69" i="10"/>
  <c r="K70" i="10"/>
  <c r="K67" i="10"/>
  <c r="L67" i="10" s="1"/>
  <c r="M67" i="10" s="1"/>
  <c r="N67" i="10" s="1"/>
  <c r="D93" i="10" s="1"/>
  <c r="C34" i="8"/>
  <c r="H126" i="10"/>
  <c r="C61" i="7"/>
  <c r="C98" i="10"/>
  <c r="E11" i="7"/>
  <c r="G11" i="7" s="1"/>
  <c r="E12" i="7"/>
  <c r="G12" i="7" s="1"/>
  <c r="E9" i="7"/>
  <c r="G9" i="7" s="1"/>
  <c r="E10" i="7"/>
  <c r="G10" i="7" s="1"/>
  <c r="E8" i="7"/>
  <c r="G8" i="7" s="1"/>
  <c r="E13" i="7"/>
  <c r="D8" i="5"/>
  <c r="K19" i="10"/>
  <c r="K20" i="10"/>
  <c r="K23" i="10"/>
  <c r="K22" i="10"/>
  <c r="K21" i="10"/>
  <c r="K18" i="10"/>
  <c r="L18" i="10" s="1"/>
  <c r="M18" i="10" s="1"/>
  <c r="C22" i="8"/>
  <c r="H78" i="10"/>
  <c r="D23" i="5"/>
  <c r="D29" i="5"/>
  <c r="E23" i="5"/>
  <c r="E29" i="5"/>
  <c r="C23" i="8"/>
  <c r="H79" i="10"/>
  <c r="S41" i="3"/>
  <c r="Z35" i="3" s="1"/>
  <c r="T41" i="3"/>
  <c r="F34" i="6"/>
  <c r="G35" i="8"/>
  <c r="C127" i="10"/>
  <c r="H34" i="6"/>
  <c r="C35" i="9"/>
  <c r="C95" i="10"/>
  <c r="C24" i="8"/>
  <c r="H80" i="10"/>
  <c r="F44" i="5"/>
  <c r="F45" i="5" s="1"/>
  <c r="G36" i="8"/>
  <c r="C36" i="9"/>
  <c r="C128" i="10"/>
  <c r="C130" i="10"/>
  <c r="C38" i="9"/>
  <c r="G38" i="8"/>
  <c r="C145" i="10"/>
  <c r="S25" i="3"/>
  <c r="G24" i="8"/>
  <c r="C80" i="10"/>
  <c r="C24" i="9"/>
  <c r="C49" i="10"/>
  <c r="F14" i="5"/>
  <c r="E35" i="6" l="1"/>
  <c r="F107" i="10"/>
  <c r="F109" i="10" s="1"/>
  <c r="F46" i="5"/>
  <c r="E52" i="12" s="1"/>
  <c r="C10" i="8"/>
  <c r="H30" i="10"/>
  <c r="C144" i="10"/>
  <c r="H29" i="10"/>
  <c r="C9" i="8"/>
  <c r="H82" i="10"/>
  <c r="C26" i="8"/>
  <c r="C27" i="9"/>
  <c r="H32" i="10"/>
  <c r="C12" i="8"/>
  <c r="F8" i="6"/>
  <c r="C29" i="10"/>
  <c r="C9" i="9"/>
  <c r="C14" i="9" s="1"/>
  <c r="C47" i="9" s="1"/>
  <c r="G9" i="8"/>
  <c r="G14" i="8" s="1"/>
  <c r="G47" i="8" s="1"/>
  <c r="C94" i="10"/>
  <c r="E78" i="10"/>
  <c r="C97" i="10"/>
  <c r="I52" i="7"/>
  <c r="J52" i="7" s="1"/>
  <c r="G33" i="6"/>
  <c r="E15" i="5"/>
  <c r="E9" i="6"/>
  <c r="D10" i="9" s="1"/>
  <c r="E10" i="9" s="1"/>
  <c r="F9" i="10"/>
  <c r="F11" i="10" s="1"/>
  <c r="F16" i="5"/>
  <c r="C52" i="12" s="1"/>
  <c r="I31" i="7"/>
  <c r="J31" i="7" s="1"/>
  <c r="G21" i="6"/>
  <c r="G12" i="10"/>
  <c r="D29" i="10"/>
  <c r="F58" i="10"/>
  <c r="F60" i="10" s="1"/>
  <c r="F31" i="5"/>
  <c r="D52" i="12" s="1"/>
  <c r="E30" i="5"/>
  <c r="E22" i="6"/>
  <c r="D13" i="6"/>
  <c r="C11" i="8"/>
  <c r="H31" i="10"/>
  <c r="G61" i="10"/>
  <c r="D78" i="10"/>
  <c r="G40" i="8"/>
  <c r="C96" i="10"/>
  <c r="C38" i="5"/>
  <c r="C44" i="5"/>
  <c r="Z50" i="3"/>
  <c r="C40" i="9"/>
  <c r="H131" i="10"/>
  <c r="C39" i="8"/>
  <c r="N18" i="10"/>
  <c r="D44" i="10" s="1"/>
  <c r="H17" i="5"/>
  <c r="E14" i="13" s="1"/>
  <c r="C30" i="10"/>
  <c r="G10" i="8"/>
  <c r="C10" i="9"/>
  <c r="F9" i="6"/>
  <c r="G34" i="6"/>
  <c r="I53" i="7"/>
  <c r="J53" i="7" s="1"/>
  <c r="G27" i="8"/>
  <c r="E28" i="10"/>
  <c r="C44" i="10"/>
  <c r="C142" i="10"/>
  <c r="E126" i="10"/>
  <c r="C48" i="10"/>
  <c r="C25" i="7"/>
  <c r="E17" i="13" s="1"/>
  <c r="G13" i="7"/>
  <c r="E77" i="10"/>
  <c r="C93" i="10"/>
  <c r="I8" i="7"/>
  <c r="J8" i="7" s="1"/>
  <c r="G7" i="6"/>
  <c r="E127" i="10"/>
  <c r="C143" i="10"/>
  <c r="C47" i="10"/>
  <c r="D24" i="5"/>
  <c r="E24" i="5"/>
  <c r="C146" i="10"/>
  <c r="C8" i="8"/>
  <c r="H28" i="10"/>
  <c r="G20" i="6"/>
  <c r="I30" i="7"/>
  <c r="J30" i="7" s="1"/>
  <c r="D127" i="10"/>
  <c r="G110" i="10"/>
  <c r="G77" i="10" l="1"/>
  <c r="E93" i="10"/>
  <c r="D46" i="6"/>
  <c r="D15" i="5"/>
  <c r="E9" i="10"/>
  <c r="E11" i="10" s="1"/>
  <c r="E10" i="6"/>
  <c r="E16" i="5"/>
  <c r="C51" i="12" s="1"/>
  <c r="D23" i="9"/>
  <c r="E23" i="9" s="1"/>
  <c r="F22" i="6"/>
  <c r="D38" i="5"/>
  <c r="E12" i="13" s="1"/>
  <c r="D44" i="5"/>
  <c r="H47" i="5" s="1"/>
  <c r="E16" i="13" s="1"/>
  <c r="E38" i="5"/>
  <c r="E44" i="5"/>
  <c r="E45" i="5" s="1"/>
  <c r="E11" i="13"/>
  <c r="H33" i="10"/>
  <c r="C13" i="8"/>
  <c r="C148" i="10"/>
  <c r="I9" i="7"/>
  <c r="J9" i="7" s="1"/>
  <c r="G8" i="6"/>
  <c r="H8" i="6"/>
  <c r="D30" i="5"/>
  <c r="E31" i="5"/>
  <c r="D51" i="12" s="1"/>
  <c r="E23" i="6"/>
  <c r="E58" i="10"/>
  <c r="E60" i="10" s="1"/>
  <c r="C46" i="10"/>
  <c r="C50" i="10" s="1"/>
  <c r="C155" i="10" s="1"/>
  <c r="E30" i="10"/>
  <c r="G127" i="10"/>
  <c r="E143" i="10"/>
  <c r="G9" i="6"/>
  <c r="I10" i="7"/>
  <c r="J10" i="7" s="1"/>
  <c r="F110" i="10"/>
  <c r="D128" i="10"/>
  <c r="E128" i="10" s="1"/>
  <c r="F12" i="10"/>
  <c r="D30" i="10"/>
  <c r="H9" i="6"/>
  <c r="F61" i="10"/>
  <c r="D79" i="10"/>
  <c r="E79" i="10" s="1"/>
  <c r="G78" i="10"/>
  <c r="E94" i="10"/>
  <c r="E142" i="10"/>
  <c r="H142" i="10" s="1"/>
  <c r="G126" i="10"/>
  <c r="D117" i="10"/>
  <c r="E117" i="10" s="1"/>
  <c r="H111" i="10"/>
  <c r="C45" i="10"/>
  <c r="E29" i="10"/>
  <c r="G13" i="10"/>
  <c r="D19" i="10"/>
  <c r="E19" i="10" s="1"/>
  <c r="H13" i="10"/>
  <c r="G28" i="10"/>
  <c r="E44" i="10"/>
  <c r="G62" i="10"/>
  <c r="D68" i="10"/>
  <c r="E68" i="10" s="1"/>
  <c r="H62" i="10"/>
  <c r="C17" i="7"/>
  <c r="H93" i="10"/>
  <c r="C99" i="10"/>
  <c r="D36" i="9"/>
  <c r="E36" i="9" s="1"/>
  <c r="F35" i="6"/>
  <c r="K142" i="10" l="1"/>
  <c r="G30" i="10"/>
  <c r="E46" i="10"/>
  <c r="D80" i="10"/>
  <c r="E80" i="10" s="1"/>
  <c r="E61" i="10"/>
  <c r="K93" i="10"/>
  <c r="I32" i="7"/>
  <c r="J32" i="7" s="1"/>
  <c r="G22" i="6"/>
  <c r="H22" i="6"/>
  <c r="G79" i="10"/>
  <c r="E95" i="10"/>
  <c r="I22" i="10"/>
  <c r="I23" i="10"/>
  <c r="I21" i="10"/>
  <c r="I20" i="10"/>
  <c r="C15" i="5"/>
  <c r="D9" i="10"/>
  <c r="D11" i="10" s="1"/>
  <c r="D16" i="5"/>
  <c r="C50" i="12" s="1"/>
  <c r="E11" i="6"/>
  <c r="I69" i="10"/>
  <c r="I70" i="10"/>
  <c r="I72" i="10"/>
  <c r="I71" i="10"/>
  <c r="E38" i="13"/>
  <c r="D24" i="9"/>
  <c r="E24" i="9" s="1"/>
  <c r="F23" i="6"/>
  <c r="D58" i="10"/>
  <c r="D60" i="10" s="1"/>
  <c r="E24" i="6"/>
  <c r="D31" i="5"/>
  <c r="D50" i="12" s="1"/>
  <c r="C30" i="5"/>
  <c r="J19" i="10"/>
  <c r="L19" i="10" s="1"/>
  <c r="M19" i="10" s="1"/>
  <c r="J21" i="10"/>
  <c r="J20" i="10"/>
  <c r="J23" i="10"/>
  <c r="J22" i="10"/>
  <c r="E107" i="10"/>
  <c r="E109" i="10" s="1"/>
  <c r="D45" i="5"/>
  <c r="E46" i="5"/>
  <c r="E51" i="12" s="1"/>
  <c r="E36" i="6"/>
  <c r="E144" i="10"/>
  <c r="G128" i="10"/>
  <c r="D118" i="10"/>
  <c r="E118" i="10" s="1"/>
  <c r="J69" i="10"/>
  <c r="J71" i="10"/>
  <c r="J68" i="10"/>
  <c r="L68" i="10" s="1"/>
  <c r="M68" i="10" s="1"/>
  <c r="N68" i="10" s="1"/>
  <c r="D94" i="10" s="1"/>
  <c r="H94" i="10" s="1"/>
  <c r="J72" i="10"/>
  <c r="J70" i="10"/>
  <c r="E45" i="10"/>
  <c r="G29" i="10"/>
  <c r="D20" i="10"/>
  <c r="E20" i="10" s="1"/>
  <c r="J118" i="10"/>
  <c r="J119" i="10"/>
  <c r="J117" i="10"/>
  <c r="L117" i="10" s="1"/>
  <c r="M117" i="10" s="1"/>
  <c r="N117" i="10" s="1"/>
  <c r="D143" i="10" s="1"/>
  <c r="H143" i="10" s="1"/>
  <c r="K143" i="10" s="1"/>
  <c r="J120" i="10"/>
  <c r="J121" i="10"/>
  <c r="H44" i="10"/>
  <c r="G111" i="10"/>
  <c r="D11" i="9"/>
  <c r="E11" i="9" s="1"/>
  <c r="F10" i="6"/>
  <c r="F62" i="10"/>
  <c r="D69" i="10"/>
  <c r="E69" i="10" s="1"/>
  <c r="E12" i="10"/>
  <c r="D31" i="10"/>
  <c r="E31" i="10" s="1"/>
  <c r="I54" i="7"/>
  <c r="J54" i="7" s="1"/>
  <c r="G35" i="6"/>
  <c r="H35" i="6"/>
  <c r="K94" i="10" l="1"/>
  <c r="I33" i="7"/>
  <c r="J33" i="7" s="1"/>
  <c r="G23" i="6"/>
  <c r="H23" i="6"/>
  <c r="I119" i="10"/>
  <c r="I118" i="10"/>
  <c r="L118" i="10" s="1"/>
  <c r="M118" i="10" s="1"/>
  <c r="N118" i="10" s="1"/>
  <c r="D144" i="10" s="1"/>
  <c r="H144" i="10" s="1"/>
  <c r="I121" i="10"/>
  <c r="I120" i="10"/>
  <c r="G80" i="10"/>
  <c r="E96" i="10"/>
  <c r="L20" i="10"/>
  <c r="M20" i="10" s="1"/>
  <c r="K44" i="10"/>
  <c r="E62" i="10"/>
  <c r="D70" i="10"/>
  <c r="E70" i="10" s="1"/>
  <c r="D21" i="10"/>
  <c r="E21" i="10" s="1"/>
  <c r="C58" i="10"/>
  <c r="C60" i="10" s="1"/>
  <c r="E25" i="6"/>
  <c r="C31" i="5"/>
  <c r="D49" i="12" s="1"/>
  <c r="I11" i="7"/>
  <c r="J11" i="7" s="1"/>
  <c r="G10" i="6"/>
  <c r="H10" i="6"/>
  <c r="D37" i="9"/>
  <c r="E37" i="9" s="1"/>
  <c r="F36" i="6"/>
  <c r="D12" i="9"/>
  <c r="E12" i="9" s="1"/>
  <c r="F11" i="6"/>
  <c r="N19" i="10"/>
  <c r="D45" i="10" s="1"/>
  <c r="H45" i="10" s="1"/>
  <c r="E12" i="6"/>
  <c r="C16" i="5"/>
  <c r="C49" i="12" s="1"/>
  <c r="C9" i="10"/>
  <c r="C11" i="10" s="1"/>
  <c r="D61" i="10"/>
  <c r="D81" i="10"/>
  <c r="E81" i="10" s="1"/>
  <c r="L69" i="10"/>
  <c r="M69" i="10" s="1"/>
  <c r="N69" i="10" s="1"/>
  <c r="D95" i="10" s="1"/>
  <c r="H95" i="10" s="1"/>
  <c r="D107" i="10"/>
  <c r="D109" i="10" s="1"/>
  <c r="D46" i="5"/>
  <c r="E50" i="12" s="1"/>
  <c r="E37" i="6"/>
  <c r="C45" i="5"/>
  <c r="D129" i="10"/>
  <c r="E129" i="10" s="1"/>
  <c r="E110" i="10"/>
  <c r="E47" i="10"/>
  <c r="G31" i="10"/>
  <c r="D12" i="10"/>
  <c r="D32" i="10"/>
  <c r="E32" i="10" s="1"/>
  <c r="H71" i="10"/>
  <c r="H70" i="10"/>
  <c r="L70" i="10" s="1"/>
  <c r="M70" i="10" s="1"/>
  <c r="N70" i="10" s="1"/>
  <c r="D96" i="10" s="1"/>
  <c r="H72" i="10"/>
  <c r="D25" i="9"/>
  <c r="E25" i="9" s="1"/>
  <c r="F24" i="6"/>
  <c r="F13" i="10"/>
  <c r="K95" i="10" l="1"/>
  <c r="K45" i="10"/>
  <c r="K144" i="10"/>
  <c r="D38" i="9"/>
  <c r="E38" i="9" s="1"/>
  <c r="F37" i="6"/>
  <c r="G24" i="6"/>
  <c r="I34" i="7"/>
  <c r="J34" i="7" s="1"/>
  <c r="H24" i="6"/>
  <c r="F26" i="6"/>
  <c r="H26" i="6" s="1"/>
  <c r="F27" i="6"/>
  <c r="E24" i="13" s="1"/>
  <c r="I12" i="7"/>
  <c r="J12" i="7" s="1"/>
  <c r="G11" i="6"/>
  <c r="H11" i="6"/>
  <c r="H96" i="10"/>
  <c r="K96" i="10" s="1"/>
  <c r="D22" i="10"/>
  <c r="E22" i="10" s="1"/>
  <c r="F14" i="6"/>
  <c r="E23" i="13" s="1"/>
  <c r="D130" i="10"/>
  <c r="E130" i="10" s="1"/>
  <c r="D110" i="10"/>
  <c r="F13" i="6"/>
  <c r="C12" i="10"/>
  <c r="D33" i="10"/>
  <c r="E33" i="10" s="1"/>
  <c r="D13" i="9"/>
  <c r="E13" i="9" s="1"/>
  <c r="F12" i="6"/>
  <c r="D26" i="9"/>
  <c r="E26" i="9" s="1"/>
  <c r="F25" i="6"/>
  <c r="D62" i="10"/>
  <c r="F72" i="10" s="1"/>
  <c r="L72" i="10" s="1"/>
  <c r="M72" i="10" s="1"/>
  <c r="N72" i="10" s="1"/>
  <c r="D98" i="10" s="1"/>
  <c r="D71" i="10"/>
  <c r="E71" i="10" s="1"/>
  <c r="E13" i="10"/>
  <c r="I55" i="7"/>
  <c r="J55" i="7" s="1"/>
  <c r="G36" i="6"/>
  <c r="H36" i="6"/>
  <c r="E48" i="10"/>
  <c r="G32" i="10"/>
  <c r="N20" i="10"/>
  <c r="D46" i="10" s="1"/>
  <c r="H46" i="10" s="1"/>
  <c r="K46" i="10" s="1"/>
  <c r="G81" i="10"/>
  <c r="E97" i="10"/>
  <c r="G71" i="10"/>
  <c r="L71" i="10" s="1"/>
  <c r="G72" i="10"/>
  <c r="C61" i="10"/>
  <c r="D72" i="10" s="1"/>
  <c r="E72" i="10" s="1"/>
  <c r="D82" i="10"/>
  <c r="E82" i="10" s="1"/>
  <c r="H23" i="10"/>
  <c r="H21" i="10"/>
  <c r="L21" i="10" s="1"/>
  <c r="M21" i="10" s="1"/>
  <c r="H22" i="10"/>
  <c r="D119" i="10"/>
  <c r="E119" i="10" s="1"/>
  <c r="E111" i="10"/>
  <c r="F111" i="10"/>
  <c r="G129" i="10"/>
  <c r="E145" i="10"/>
  <c r="C46" i="5"/>
  <c r="E49" i="12" s="1"/>
  <c r="E38" i="6"/>
  <c r="C107" i="10"/>
  <c r="C109" i="10" s="1"/>
  <c r="D39" i="9" l="1"/>
  <c r="E39" i="9" s="1"/>
  <c r="F38" i="6"/>
  <c r="E49" i="10"/>
  <c r="G33" i="10"/>
  <c r="C35" i="10" s="1"/>
  <c r="C38" i="10" s="1"/>
  <c r="I35" i="7"/>
  <c r="J35" i="7" s="1"/>
  <c r="C38" i="7" s="1"/>
  <c r="C40" i="7" s="1"/>
  <c r="C45" i="7" s="1"/>
  <c r="G25" i="6"/>
  <c r="H25" i="6"/>
  <c r="D120" i="10"/>
  <c r="E120" i="10" s="1"/>
  <c r="H13" i="6"/>
  <c r="G82" i="10"/>
  <c r="C84" i="10" s="1"/>
  <c r="C87" i="10" s="1"/>
  <c r="E98" i="10"/>
  <c r="H98" i="10" s="1"/>
  <c r="K98" i="10" s="1"/>
  <c r="G130" i="10"/>
  <c r="E146" i="10"/>
  <c r="N21" i="10"/>
  <c r="D47" i="10" s="1"/>
  <c r="H47" i="10" s="1"/>
  <c r="K47" i="10" s="1"/>
  <c r="G22" i="10"/>
  <c r="L22" i="10" s="1"/>
  <c r="M22" i="10" s="1"/>
  <c r="G23" i="10"/>
  <c r="G120" i="10"/>
  <c r="G121" i="10"/>
  <c r="D23" i="10"/>
  <c r="E23" i="10" s="1"/>
  <c r="H120" i="10"/>
  <c r="H119" i="10"/>
  <c r="L119" i="10" s="1"/>
  <c r="M119" i="10" s="1"/>
  <c r="N119" i="10" s="1"/>
  <c r="D145" i="10" s="1"/>
  <c r="H145" i="10" s="1"/>
  <c r="H121" i="10"/>
  <c r="I56" i="7"/>
  <c r="J56" i="7" s="1"/>
  <c r="G37" i="6"/>
  <c r="H37" i="6"/>
  <c r="I13" i="7"/>
  <c r="J13" i="7" s="1"/>
  <c r="C16" i="7" s="1"/>
  <c r="C18" i="7" s="1"/>
  <c r="C23" i="7" s="1"/>
  <c r="G12" i="6"/>
  <c r="G13" i="6" s="1"/>
  <c r="H12" i="6"/>
  <c r="M71" i="10"/>
  <c r="N71" i="10" s="1"/>
  <c r="D97" i="10" s="1"/>
  <c r="F39" i="6"/>
  <c r="H39" i="6" s="1"/>
  <c r="D13" i="10"/>
  <c r="F23" i="10" s="1"/>
  <c r="L23" i="10" s="1"/>
  <c r="G26" i="6"/>
  <c r="C7" i="12" s="1"/>
  <c r="C110" i="10"/>
  <c r="D121" i="10" s="1"/>
  <c r="E121" i="10" s="1"/>
  <c r="D131" i="10"/>
  <c r="E131" i="10" s="1"/>
  <c r="H97" i="10"/>
  <c r="F40" i="6"/>
  <c r="E25" i="13" s="1"/>
  <c r="K145" i="10" l="1"/>
  <c r="E21" i="8"/>
  <c r="E24" i="8"/>
  <c r="E23" i="8"/>
  <c r="E22" i="8"/>
  <c r="E26" i="8"/>
  <c r="E25" i="8"/>
  <c r="C46" i="7"/>
  <c r="E21" i="13" s="1"/>
  <c r="F21" i="8"/>
  <c r="F25" i="8"/>
  <c r="F24" i="8"/>
  <c r="F23" i="8"/>
  <c r="F22" i="8"/>
  <c r="F26" i="8"/>
  <c r="E36" i="13"/>
  <c r="H146" i="10"/>
  <c r="K146" i="10" s="1"/>
  <c r="G131" i="10"/>
  <c r="C133" i="10" s="1"/>
  <c r="C136" i="10" s="1"/>
  <c r="E147" i="10"/>
  <c r="H147" i="10" s="1"/>
  <c r="K147" i="10" s="1"/>
  <c r="F97" i="10"/>
  <c r="F96" i="10"/>
  <c r="F93" i="10"/>
  <c r="F94" i="10"/>
  <c r="F95" i="10"/>
  <c r="F98" i="10"/>
  <c r="M23" i="10"/>
  <c r="C78" i="11" s="1"/>
  <c r="L120" i="10"/>
  <c r="M120" i="10" s="1"/>
  <c r="N120" i="10" s="1"/>
  <c r="D146" i="10" s="1"/>
  <c r="C77" i="11"/>
  <c r="F47" i="10"/>
  <c r="F48" i="10"/>
  <c r="F44" i="10"/>
  <c r="F46" i="10"/>
  <c r="F45" i="10"/>
  <c r="F49" i="10"/>
  <c r="G38" i="6"/>
  <c r="G39" i="6" s="1"/>
  <c r="I57" i="7"/>
  <c r="J57" i="7" s="1"/>
  <c r="C60" i="7" s="1"/>
  <c r="C62" i="7" s="1"/>
  <c r="C67" i="7" s="1"/>
  <c r="H38" i="6"/>
  <c r="K97" i="10"/>
  <c r="K99" i="10" s="1"/>
  <c r="C15" i="12" s="1"/>
  <c r="H99" i="10"/>
  <c r="E8" i="8"/>
  <c r="E11" i="8"/>
  <c r="E10" i="8"/>
  <c r="E12" i="8"/>
  <c r="E9" i="8"/>
  <c r="E13" i="8"/>
  <c r="C24" i="7"/>
  <c r="E20" i="13" s="1"/>
  <c r="F8" i="8"/>
  <c r="F11" i="8"/>
  <c r="F12" i="8"/>
  <c r="F10" i="8"/>
  <c r="F9" i="8"/>
  <c r="F13" i="8"/>
  <c r="N22" i="10"/>
  <c r="D48" i="10" s="1"/>
  <c r="H48" i="10" s="1"/>
  <c r="K48" i="10" s="1"/>
  <c r="C42" i="11"/>
  <c r="C64" i="11"/>
  <c r="C73" i="11"/>
  <c r="C56" i="11"/>
  <c r="C6" i="12"/>
  <c r="F46" i="6"/>
  <c r="C82" i="11"/>
  <c r="C62" i="11"/>
  <c r="C71" i="11"/>
  <c r="D111" i="10"/>
  <c r="F121" i="10" s="1"/>
  <c r="L121" i="10" s="1"/>
  <c r="M121" i="10" s="1"/>
  <c r="N121" i="10" s="1"/>
  <c r="D147" i="10" s="1"/>
  <c r="E35" i="13"/>
  <c r="C8" i="12" l="1"/>
  <c r="G46" i="6"/>
  <c r="G49" i="10"/>
  <c r="F13" i="9"/>
  <c r="G13" i="9" s="1"/>
  <c r="H13" i="8"/>
  <c r="I45" i="10"/>
  <c r="L45" i="10" s="1"/>
  <c r="G45" i="10"/>
  <c r="J45" i="10" s="1"/>
  <c r="H9" i="8"/>
  <c r="F9" i="9"/>
  <c r="G9" i="9" s="1"/>
  <c r="G46" i="10"/>
  <c r="J46" i="10" s="1"/>
  <c r="I46" i="10"/>
  <c r="L46" i="10" s="1"/>
  <c r="D40" i="11"/>
  <c r="D42" i="11"/>
  <c r="I44" i="10"/>
  <c r="G44" i="10"/>
  <c r="F26" i="9"/>
  <c r="G26" i="9" s="1"/>
  <c r="H26" i="8"/>
  <c r="C9" i="12"/>
  <c r="H8" i="8"/>
  <c r="F14" i="8"/>
  <c r="F8" i="9"/>
  <c r="G8" i="9" s="1"/>
  <c r="H22" i="8"/>
  <c r="F22" i="9"/>
  <c r="G22" i="9" s="1"/>
  <c r="C51" i="11"/>
  <c r="G95" i="10"/>
  <c r="J95" i="10" s="1"/>
  <c r="I95" i="10"/>
  <c r="L95" i="10" s="1"/>
  <c r="I94" i="10"/>
  <c r="L94" i="10" s="1"/>
  <c r="G94" i="10"/>
  <c r="J94" i="10" s="1"/>
  <c r="C61" i="11"/>
  <c r="I93" i="10"/>
  <c r="G93" i="10"/>
  <c r="J93" i="10" s="1"/>
  <c r="C52" i="11"/>
  <c r="I96" i="10"/>
  <c r="L96" i="10" s="1"/>
  <c r="G96" i="10"/>
  <c r="J96" i="10" s="1"/>
  <c r="C48" i="11"/>
  <c r="I97" i="10"/>
  <c r="L97" i="10" s="1"/>
  <c r="G97" i="10"/>
  <c r="J97" i="10" s="1"/>
  <c r="H148" i="10"/>
  <c r="F25" i="9"/>
  <c r="G25" i="9" s="1"/>
  <c r="H25" i="8"/>
  <c r="H21" i="8"/>
  <c r="F27" i="8"/>
  <c r="F21" i="9"/>
  <c r="G21" i="9" s="1"/>
  <c r="N23" i="10"/>
  <c r="D49" i="10" s="1"/>
  <c r="H49" i="10" s="1"/>
  <c r="K49" i="10" s="1"/>
  <c r="K50" i="10" s="1"/>
  <c r="C44" i="11"/>
  <c r="C50" i="11"/>
  <c r="C43" i="11"/>
  <c r="C39" i="11"/>
  <c r="C95" i="11" s="1"/>
  <c r="C45" i="11"/>
  <c r="C75" i="11"/>
  <c r="C66" i="11"/>
  <c r="C55" i="11"/>
  <c r="C47" i="11"/>
  <c r="C85" i="11"/>
  <c r="C58" i="11"/>
  <c r="C83" i="11"/>
  <c r="C70" i="11"/>
  <c r="C53" i="11"/>
  <c r="C80" i="11"/>
  <c r="C68" i="11"/>
  <c r="C69" i="11"/>
  <c r="C63" i="11"/>
  <c r="C57" i="11"/>
  <c r="C79" i="11"/>
  <c r="C46" i="11"/>
  <c r="C76" i="11"/>
  <c r="C87" i="11"/>
  <c r="C54" i="11"/>
  <c r="C65" i="11"/>
  <c r="C40" i="11"/>
  <c r="C59" i="11"/>
  <c r="C67" i="11"/>
  <c r="E34" i="8"/>
  <c r="E37" i="8"/>
  <c r="E36" i="8"/>
  <c r="E35" i="8"/>
  <c r="E39" i="8"/>
  <c r="E38" i="8"/>
  <c r="C68" i="7"/>
  <c r="E22" i="13" s="1"/>
  <c r="F35" i="8"/>
  <c r="F38" i="8"/>
  <c r="F34" i="8"/>
  <c r="F37" i="8"/>
  <c r="F36" i="8"/>
  <c r="F39" i="8"/>
  <c r="K148" i="10"/>
  <c r="C16" i="12" s="1"/>
  <c r="F12" i="9"/>
  <c r="G12" i="9" s="1"/>
  <c r="H12" i="8"/>
  <c r="G48" i="10"/>
  <c r="J48" i="10" s="1"/>
  <c r="I48" i="10"/>
  <c r="L48" i="10" s="1"/>
  <c r="H11" i="8"/>
  <c r="F11" i="9"/>
  <c r="G11" i="9" s="1"/>
  <c r="G47" i="10"/>
  <c r="J47" i="10" s="1"/>
  <c r="I47" i="10"/>
  <c r="L47" i="10" s="1"/>
  <c r="H23" i="8"/>
  <c r="F23" i="9"/>
  <c r="G23" i="9" s="1"/>
  <c r="H24" i="8"/>
  <c r="F24" i="9"/>
  <c r="G24" i="9" s="1"/>
  <c r="I98" i="10"/>
  <c r="L98" i="10" s="1"/>
  <c r="G98" i="10"/>
  <c r="J98" i="10" s="1"/>
  <c r="C86" i="11"/>
  <c r="C49" i="11"/>
  <c r="C72" i="11"/>
  <c r="F146" i="10"/>
  <c r="F143" i="10"/>
  <c r="F142" i="10"/>
  <c r="D60" i="11" s="1"/>
  <c r="F145" i="10"/>
  <c r="F144" i="10"/>
  <c r="F147" i="10"/>
  <c r="C41" i="11"/>
  <c r="H10" i="8"/>
  <c r="F10" i="9"/>
  <c r="G10" i="9" s="1"/>
  <c r="C84" i="11"/>
  <c r="C74" i="11"/>
  <c r="C60" i="11"/>
  <c r="C81" i="11"/>
  <c r="C14" i="12" l="1"/>
  <c r="C17" i="12" s="1"/>
  <c r="D22" i="12" s="1"/>
  <c r="K155" i="10"/>
  <c r="C14" i="11" s="1"/>
  <c r="L93" i="10"/>
  <c r="L99" i="10" s="1"/>
  <c r="D15" i="12" s="1"/>
  <c r="I99" i="10"/>
  <c r="H100" i="10"/>
  <c r="E33" i="13" s="1"/>
  <c r="D82" i="11"/>
  <c r="D83" i="11"/>
  <c r="D65" i="11"/>
  <c r="D86" i="11"/>
  <c r="D87" i="11"/>
  <c r="D69" i="11"/>
  <c r="D73" i="11"/>
  <c r="G146" i="10"/>
  <c r="J146" i="10" s="1"/>
  <c r="I146" i="10"/>
  <c r="L146" i="10" s="1"/>
  <c r="D85" i="11"/>
  <c r="F38" i="9"/>
  <c r="G38" i="9" s="1"/>
  <c r="H38" i="8"/>
  <c r="D56" i="11"/>
  <c r="G36" i="12"/>
  <c r="M98" i="10"/>
  <c r="H35" i="8"/>
  <c r="F35" i="9"/>
  <c r="G35" i="9" s="1"/>
  <c r="E37" i="13"/>
  <c r="F28" i="8"/>
  <c r="E27" i="13" s="1"/>
  <c r="H27" i="8"/>
  <c r="D7" i="12" s="1"/>
  <c r="H22" i="9"/>
  <c r="D32" i="12"/>
  <c r="D58" i="11"/>
  <c r="F33" i="12"/>
  <c r="M46" i="10"/>
  <c r="I145" i="10"/>
  <c r="L145" i="10" s="1"/>
  <c r="G145" i="10"/>
  <c r="J145" i="10" s="1"/>
  <c r="I142" i="10"/>
  <c r="G142" i="10"/>
  <c r="J142" i="10" s="1"/>
  <c r="D48" i="11"/>
  <c r="H34" i="8"/>
  <c r="F40" i="8"/>
  <c r="F47" i="8" s="1"/>
  <c r="F34" i="9"/>
  <c r="G34" i="9" s="1"/>
  <c r="D70" i="11"/>
  <c r="D64" i="11"/>
  <c r="C32" i="12"/>
  <c r="H9" i="9"/>
  <c r="C35" i="12"/>
  <c r="H12" i="9"/>
  <c r="D44" i="11"/>
  <c r="D34" i="12"/>
  <c r="H24" i="9"/>
  <c r="D76" i="11"/>
  <c r="F39" i="9"/>
  <c r="G39" i="9" s="1"/>
  <c r="H39" i="8"/>
  <c r="D66" i="11"/>
  <c r="D72" i="11"/>
  <c r="H50" i="10"/>
  <c r="H155" i="10" s="1"/>
  <c r="D33" i="12"/>
  <c r="H23" i="9"/>
  <c r="M97" i="10"/>
  <c r="G35" i="12"/>
  <c r="F15" i="8"/>
  <c r="E26" i="13" s="1"/>
  <c r="H14" i="8"/>
  <c r="F32" i="12"/>
  <c r="M45" i="10"/>
  <c r="C22" i="12"/>
  <c r="D77" i="11"/>
  <c r="G28" i="9"/>
  <c r="E30" i="13" s="1"/>
  <c r="G27" i="9"/>
  <c r="D31" i="12"/>
  <c r="H21" i="9"/>
  <c r="G33" i="12"/>
  <c r="M95" i="10"/>
  <c r="D47" i="11"/>
  <c r="D51" i="11"/>
  <c r="D80" i="11"/>
  <c r="D55" i="11"/>
  <c r="D84" i="11"/>
  <c r="D54" i="11"/>
  <c r="H37" i="8"/>
  <c r="F37" i="9"/>
  <c r="G37" i="9" s="1"/>
  <c r="D68" i="11"/>
  <c r="F34" i="12"/>
  <c r="M47" i="10"/>
  <c r="D41" i="11"/>
  <c r="F40" i="12"/>
  <c r="H40" i="12" s="1"/>
  <c r="C36" i="12"/>
  <c r="H13" i="9"/>
  <c r="D43" i="11"/>
  <c r="E69" i="11"/>
  <c r="E65" i="11"/>
  <c r="E61" i="11"/>
  <c r="E57" i="11"/>
  <c r="E53" i="11"/>
  <c r="E58" i="11"/>
  <c r="E80" i="11"/>
  <c r="E46" i="11"/>
  <c r="E68" i="11"/>
  <c r="E56" i="11"/>
  <c r="E60" i="11"/>
  <c r="E84" i="11"/>
  <c r="E48" i="11"/>
  <c r="E52" i="11"/>
  <c r="J44" i="10"/>
  <c r="H51" i="10" s="1"/>
  <c r="E32" i="13" s="1"/>
  <c r="D63" i="11"/>
  <c r="D45" i="11"/>
  <c r="I49" i="10"/>
  <c r="L49" i="10" s="1"/>
  <c r="D81" i="11"/>
  <c r="D36" i="12"/>
  <c r="F41" i="12"/>
  <c r="H41" i="12" s="1"/>
  <c r="H26" i="9"/>
  <c r="D49" i="11"/>
  <c r="J49" i="10"/>
  <c r="M94" i="10"/>
  <c r="G32" i="12"/>
  <c r="D52" i="11"/>
  <c r="C31" i="12"/>
  <c r="G15" i="9"/>
  <c r="E29" i="13" s="1"/>
  <c r="G14" i="9"/>
  <c r="H8" i="9"/>
  <c r="H14" i="9" s="1"/>
  <c r="G34" i="12"/>
  <c r="M96" i="10"/>
  <c r="I50" i="10"/>
  <c r="L44" i="10"/>
  <c r="L50" i="10" s="1"/>
  <c r="D71" i="11"/>
  <c r="D53" i="11"/>
  <c r="G143" i="10"/>
  <c r="J143" i="10" s="1"/>
  <c r="I143" i="10"/>
  <c r="L143" i="10" s="1"/>
  <c r="D78" i="11"/>
  <c r="D39" i="11"/>
  <c r="D95" i="11" s="1"/>
  <c r="D59" i="11"/>
  <c r="C33" i="12"/>
  <c r="H10" i="9"/>
  <c r="C34" i="12"/>
  <c r="H11" i="9"/>
  <c r="D67" i="11"/>
  <c r="D50" i="11"/>
  <c r="D75" i="11"/>
  <c r="D57" i="11"/>
  <c r="C9" i="11"/>
  <c r="F36" i="9"/>
  <c r="G36" i="9" s="1"/>
  <c r="H36" i="8"/>
  <c r="D46" i="11"/>
  <c r="D35" i="12"/>
  <c r="H25" i="9"/>
  <c r="D62" i="11"/>
  <c r="G147" i="10"/>
  <c r="J147" i="10" s="1"/>
  <c r="I147" i="10"/>
  <c r="L147" i="10" s="1"/>
  <c r="M48" i="10"/>
  <c r="F35" i="12"/>
  <c r="I144" i="10"/>
  <c r="L144" i="10" s="1"/>
  <c r="G144" i="10"/>
  <c r="J144" i="10" s="1"/>
  <c r="G31" i="12"/>
  <c r="M93" i="10"/>
  <c r="J99" i="10"/>
  <c r="D74" i="11"/>
  <c r="D79" i="11"/>
  <c r="D61" i="11"/>
  <c r="E44" i="11" l="1"/>
  <c r="E45" i="11"/>
  <c r="E34" i="12"/>
  <c r="H37" i="9"/>
  <c r="D6" i="12"/>
  <c r="D14" i="12"/>
  <c r="D17" i="12" s="1"/>
  <c r="D23" i="12" s="1"/>
  <c r="L155" i="10"/>
  <c r="D14" i="11" s="1"/>
  <c r="F31" i="12"/>
  <c r="M44" i="10"/>
  <c r="M50" i="10" s="1"/>
  <c r="J50" i="10"/>
  <c r="E49" i="11"/>
  <c r="G41" i="9"/>
  <c r="E31" i="13" s="1"/>
  <c r="G40" i="9"/>
  <c r="E31" i="12"/>
  <c r="H34" i="9"/>
  <c r="H40" i="9" s="1"/>
  <c r="C58" i="12"/>
  <c r="C11" i="11"/>
  <c r="C10" i="11"/>
  <c r="I148" i="10"/>
  <c r="L142" i="10"/>
  <c r="L148" i="10" s="1"/>
  <c r="D16" i="12" s="1"/>
  <c r="H149" i="10"/>
  <c r="E34" i="13" s="1"/>
  <c r="E73" i="11"/>
  <c r="M145" i="10"/>
  <c r="H34" i="12"/>
  <c r="E70" i="11"/>
  <c r="E35" i="12"/>
  <c r="H38" i="9"/>
  <c r="E62" i="11"/>
  <c r="E55" i="11"/>
  <c r="H33" i="12"/>
  <c r="M144" i="10"/>
  <c r="E59" i="11"/>
  <c r="H27" i="9"/>
  <c r="F41" i="8"/>
  <c r="E28" i="13" s="1"/>
  <c r="H40" i="8"/>
  <c r="D8" i="12" s="1"/>
  <c r="G47" i="9"/>
  <c r="E43" i="11"/>
  <c r="E77" i="11"/>
  <c r="M99" i="10"/>
  <c r="E15" i="12" s="1"/>
  <c r="E85" i="11"/>
  <c r="E36" i="12"/>
  <c r="F42" i="12"/>
  <c r="H42" i="12" s="1"/>
  <c r="H39" i="9"/>
  <c r="E74" i="11"/>
  <c r="F36" i="12"/>
  <c r="M49" i="10"/>
  <c r="E40" i="11"/>
  <c r="E39" i="11"/>
  <c r="E95" i="11" s="1"/>
  <c r="H35" i="12"/>
  <c r="M146" i="10"/>
  <c r="E51" i="11"/>
  <c r="E63" i="11"/>
  <c r="E86" i="11"/>
  <c r="E67" i="11"/>
  <c r="H31" i="12"/>
  <c r="M142" i="10"/>
  <c r="M148" i="10" s="1"/>
  <c r="E16" i="12" s="1"/>
  <c r="J148" i="10"/>
  <c r="E42" i="11"/>
  <c r="E75" i="11"/>
  <c r="I155" i="10"/>
  <c r="E50" i="11"/>
  <c r="H36" i="12"/>
  <c r="M147" i="10"/>
  <c r="E72" i="11"/>
  <c r="E71" i="11"/>
  <c r="E64" i="11"/>
  <c r="E83" i="11"/>
  <c r="H35" i="9"/>
  <c r="E32" i="12"/>
  <c r="C63" i="12"/>
  <c r="E81" i="11"/>
  <c r="E54" i="11"/>
  <c r="E66" i="11"/>
  <c r="E87" i="11"/>
  <c r="E22" i="12"/>
  <c r="F22" i="12" s="1"/>
  <c r="H36" i="9"/>
  <c r="E33" i="12"/>
  <c r="D40" i="12"/>
  <c r="E6" i="12"/>
  <c r="E47" i="11"/>
  <c r="E82" i="11"/>
  <c r="E76" i="11"/>
  <c r="E79" i="11"/>
  <c r="H32" i="12"/>
  <c r="M143" i="10"/>
  <c r="E78" i="11"/>
  <c r="E41" i="11"/>
  <c r="C59" i="12" l="1"/>
  <c r="C93" i="11"/>
  <c r="C94" i="11"/>
  <c r="C66" i="12" s="1"/>
  <c r="C60" i="12"/>
  <c r="C12" i="11"/>
  <c r="J155" i="10"/>
  <c r="E8" i="12"/>
  <c r="D42" i="12"/>
  <c r="E42" i="12" s="1"/>
  <c r="D9" i="12"/>
  <c r="H47" i="8"/>
  <c r="D9" i="11" s="1"/>
  <c r="E9" i="12"/>
  <c r="C24" i="12" s="1"/>
  <c r="D41" i="12"/>
  <c r="E41" i="12" s="1"/>
  <c r="E7" i="12"/>
  <c r="D63" i="12"/>
  <c r="E14" i="12"/>
  <c r="E17" i="12" s="1"/>
  <c r="D24" i="12" s="1"/>
  <c r="M155" i="10"/>
  <c r="E14" i="11" s="1"/>
  <c r="H47" i="9"/>
  <c r="E40" i="12"/>
  <c r="E9" i="11" l="1"/>
  <c r="E39" i="13"/>
  <c r="D58" i="12"/>
  <c r="D10" i="11"/>
  <c r="D11" i="11"/>
  <c r="E24" i="12"/>
  <c r="F24" i="12" s="1"/>
  <c r="D26" i="12"/>
  <c r="E63" i="12"/>
  <c r="C30" i="11"/>
  <c r="C61" i="12"/>
  <c r="C13" i="11"/>
  <c r="C62" i="12" s="1"/>
  <c r="C15" i="11"/>
  <c r="C23" i="12"/>
  <c r="E44" i="12"/>
  <c r="E40" i="13" s="1"/>
  <c r="D43" i="12"/>
  <c r="E43" i="12" s="1"/>
  <c r="C26" i="12" l="1"/>
  <c r="E23" i="12"/>
  <c r="F23" i="12" s="1"/>
  <c r="D94" i="11"/>
  <c r="D66" i="12" s="1"/>
  <c r="D60" i="12"/>
  <c r="D12" i="11"/>
  <c r="C64" i="12"/>
  <c r="C16" i="11"/>
  <c r="C65" i="12" s="1"/>
  <c r="D59" i="12"/>
  <c r="D93" i="11"/>
  <c r="D15" i="11"/>
  <c r="E58" i="12"/>
  <c r="C25" i="11"/>
  <c r="E11" i="11"/>
  <c r="E10" i="11"/>
  <c r="C26" i="11" l="1"/>
  <c r="E59" i="12"/>
  <c r="E93" i="11"/>
  <c r="C101" i="11" s="1"/>
  <c r="D61" i="12"/>
  <c r="D13" i="11"/>
  <c r="D62" i="12" s="1"/>
  <c r="C27" i="11"/>
  <c r="E60" i="12"/>
  <c r="E12" i="11"/>
  <c r="E94" i="11"/>
  <c r="D64" i="12"/>
  <c r="D16" i="11"/>
  <c r="D65" i="12" s="1"/>
  <c r="C28" i="11" l="1"/>
  <c r="E13" i="11"/>
  <c r="E61" i="12"/>
  <c r="K85" i="11"/>
  <c r="K81" i="11"/>
  <c r="K77" i="11"/>
  <c r="K73" i="11"/>
  <c r="K69" i="11"/>
  <c r="K65" i="11"/>
  <c r="K61" i="11"/>
  <c r="K57" i="11"/>
  <c r="K53" i="11"/>
  <c r="K49" i="11"/>
  <c r="K45" i="11"/>
  <c r="K41" i="11"/>
  <c r="K84" i="11"/>
  <c r="K80" i="11"/>
  <c r="K76" i="11"/>
  <c r="K72" i="11"/>
  <c r="K68" i="11"/>
  <c r="K64" i="11"/>
  <c r="K60" i="11"/>
  <c r="K56" i="11"/>
  <c r="K52" i="11"/>
  <c r="K48" i="11"/>
  <c r="K44" i="11"/>
  <c r="K40" i="11"/>
  <c r="K46" i="11"/>
  <c r="K79" i="11"/>
  <c r="K67" i="11"/>
  <c r="K78" i="11"/>
  <c r="K55" i="11"/>
  <c r="K66" i="11"/>
  <c r="K43" i="11"/>
  <c r="K54" i="11"/>
  <c r="K42" i="11"/>
  <c r="K75" i="11"/>
  <c r="K87" i="11"/>
  <c r="K74" i="11"/>
  <c r="K51" i="11"/>
  <c r="K62" i="11"/>
  <c r="K39" i="11"/>
  <c r="K70" i="11"/>
  <c r="K47" i="11"/>
  <c r="K58" i="11"/>
  <c r="K86" i="11"/>
  <c r="K83" i="11"/>
  <c r="K71" i="11"/>
  <c r="K63" i="11"/>
  <c r="K50" i="11"/>
  <c r="K59" i="11"/>
  <c r="K82" i="11"/>
  <c r="E66" i="12"/>
  <c r="C102" i="11"/>
  <c r="C97" i="11"/>
  <c r="E42" i="13" s="1"/>
  <c r="E15" i="11"/>
  <c r="J85" i="11"/>
  <c r="J81" i="11"/>
  <c r="J77" i="11"/>
  <c r="J73" i="11"/>
  <c r="J69" i="11"/>
  <c r="J65" i="11"/>
  <c r="J61" i="11"/>
  <c r="J57" i="11"/>
  <c r="J53" i="11"/>
  <c r="J49" i="11"/>
  <c r="J45" i="11"/>
  <c r="J41" i="11"/>
  <c r="J84" i="11"/>
  <c r="J80" i="11"/>
  <c r="J76" i="11"/>
  <c r="J72" i="11"/>
  <c r="J68" i="11"/>
  <c r="J64" i="11"/>
  <c r="J60" i="11"/>
  <c r="J56" i="11"/>
  <c r="J52" i="11"/>
  <c r="J48" i="11"/>
  <c r="J44" i="11"/>
  <c r="J40" i="11"/>
  <c r="J86" i="11"/>
  <c r="J82" i="11"/>
  <c r="J78" i="11"/>
  <c r="J74" i="11"/>
  <c r="J70" i="11"/>
  <c r="J66" i="11"/>
  <c r="J62" i="11"/>
  <c r="J58" i="11"/>
  <c r="J54" i="11"/>
  <c r="J50" i="11"/>
  <c r="J46" i="11"/>
  <c r="J42" i="11"/>
  <c r="J79" i="11"/>
  <c r="J67" i="11"/>
  <c r="J55" i="11"/>
  <c r="J43" i="11"/>
  <c r="J87" i="11"/>
  <c r="J63" i="11"/>
  <c r="J51" i="11"/>
  <c r="J59" i="11"/>
  <c r="J47" i="11"/>
  <c r="J71" i="11"/>
  <c r="J39" i="11"/>
  <c r="J83" i="11"/>
  <c r="J75" i="11"/>
  <c r="E64" i="12" l="1"/>
  <c r="C31" i="11"/>
  <c r="E16" i="11"/>
  <c r="C17" i="11"/>
  <c r="E41" i="13" s="1"/>
  <c r="C5" i="13" s="1"/>
  <c r="E62" i="12"/>
  <c r="C29" i="11"/>
  <c r="C4" i="13" l="1"/>
  <c r="E65" i="12"/>
  <c r="C32" i="11"/>
</calcChain>
</file>

<file path=xl/sharedStrings.xml><?xml version="1.0" encoding="utf-8"?>
<sst xmlns="http://schemas.openxmlformats.org/spreadsheetml/2006/main" count="1375" uniqueCount="711">
  <si>
    <t>Northgate Mutual Insurance Society</t>
  </si>
  <si>
    <t>Commercial Motor - Unpaid Claim Liability and Reinsurance Model</t>
  </si>
  <si>
    <t>Reserving date: 31 December 2025   |   All monetary amounts in GBP thousands (£000)</t>
  </si>
  <si>
    <t>Purpose</t>
  </si>
  <si>
    <t>Estimate the unpaid claim liability for the Commercial Motor account under three</t>
  </si>
  <si>
    <t>alternative reserving bases, test the result against a management-directed adverse</t>
  </si>
  <si>
    <t>scenario, and evaluate an Adverse Development Cover offered by the reinsurer.</t>
  </si>
  <si>
    <t>Contents</t>
  </si>
  <si>
    <t>Raw Data</t>
  </si>
  <si>
    <t>Source data as received, prior to any adjustment (Tables 1-3)</t>
  </si>
  <si>
    <t>Data Validation</t>
  </si>
  <si>
    <t>Defect detection, correction rules and validated triangles</t>
  </si>
  <si>
    <t>Parameters</t>
  </si>
  <si>
    <t>All model parameters and assumptions (Tables 4-10)</t>
  </si>
  <si>
    <t>Dev Factors</t>
  </si>
  <si>
    <t>Age-to-age factors, selections and cumulative development factors</t>
  </si>
  <si>
    <t>S1 Chain Ladder</t>
  </si>
  <si>
    <t>Base scenario 1 - Chain Ladder ultimates and reserves</t>
  </si>
  <si>
    <t>On-Level &amp; Cred</t>
  </si>
  <si>
    <t>On-levelling, loss trend and credibility-weighted a priori loss ratios</t>
  </si>
  <si>
    <t>S2 Expected Claims</t>
  </si>
  <si>
    <t>Base scenario 2 - Expected Claims ultimates and reserves</t>
  </si>
  <si>
    <t>S3 BF</t>
  </si>
  <si>
    <t>Base scenario 3 - Bornhuetter-Ferguson ultimates and reserves</t>
  </si>
  <si>
    <t>Extension</t>
  </si>
  <si>
    <t>Extension scenario - tail factor and claims inflation shock, all three bases</t>
  </si>
  <si>
    <t>ADC</t>
  </si>
  <si>
    <t>Adverse Development Cover - layer analysis and break-even shock rate</t>
  </si>
  <si>
    <t>Summary</t>
  </si>
  <si>
    <t>Comparative results and charts</t>
  </si>
  <si>
    <t>Checks</t>
  </si>
  <si>
    <t>Consolidated check dashboard</t>
  </si>
  <si>
    <t>Audit Trail</t>
  </si>
  <si>
    <t>Full methodology, assumptions and check documentation</t>
  </si>
  <si>
    <t>Cell convention</t>
  </si>
  <si>
    <t>Blue text</t>
  </si>
  <si>
    <t>Hardcoded input or scenario lever - edit here</t>
  </si>
  <si>
    <t>Black text</t>
  </si>
  <si>
    <t>Formula calculated on this sheet</t>
  </si>
  <si>
    <t>Green text</t>
  </si>
  <si>
    <t>Link to another sheet in this workbook</t>
  </si>
  <si>
    <t>Yellow fill</t>
  </si>
  <si>
    <t>Key assumption set by management or judgement</t>
  </si>
  <si>
    <t>Green fill</t>
  </si>
  <si>
    <t>Check - must read OK</t>
  </si>
  <si>
    <t>Red fill</t>
  </si>
  <si>
    <t>Data defect identified by the validation rules</t>
  </si>
  <si>
    <t>Note</t>
  </si>
  <si>
    <t>The model contains no volatile functions, no macros and no external links.</t>
  </si>
  <si>
    <t>Raw Data - as received, before validation</t>
  </si>
  <si>
    <t>Source: Northgate Mutual claims administration system extract of 14 January 2026 (paid amounts) and finance system (premium and rate history). Received as a flat file and pasted unaltered.</t>
  </si>
  <si>
    <t>This sheet is deliberately left unadjusted. All corrections are made on the "Data Validation" sheet so that the audit path from source to model input is visible.</t>
  </si>
  <si>
    <t>Table 1: Raw cumulative paid claims by rating group (£000)</t>
  </si>
  <si>
    <t>Rows are accident years; columns are development age in months from the start of the accident year.</t>
  </si>
  <si>
    <t>Group A - Light commercial vehicles</t>
  </si>
  <si>
    <t>Accident year</t>
  </si>
  <si>
    <t>12 months</t>
  </si>
  <si>
    <t>24 months</t>
  </si>
  <si>
    <t>36 months</t>
  </si>
  <si>
    <t>48 months</t>
  </si>
  <si>
    <t>60 months</t>
  </si>
  <si>
    <t>72 months</t>
  </si>
  <si>
    <t>2020</t>
  </si>
  <si>
    <t>2021</t>
  </si>
  <si>
    <t>2022</t>
  </si>
  <si>
    <t>2023</t>
  </si>
  <si>
    <t>n/a</t>
  </si>
  <si>
    <t>2024</t>
  </si>
  <si>
    <t>2025</t>
  </si>
  <si>
    <t>Group B - Heavy goods vehicles</t>
  </si>
  <si>
    <t>Group C - Specialist haulage</t>
  </si>
  <si>
    <t>Table 2: Raw reported claim counts by rating group</t>
  </si>
  <si>
    <t>Counts of reported claims, used only to set credibility weights. Source: claims administration system.</t>
  </si>
  <si>
    <t>Group A</t>
  </si>
  <si>
    <t>Group B</t>
  </si>
  <si>
    <t>Group C</t>
  </si>
  <si>
    <t>Table 3: Raw history of rate changes by rating group</t>
  </si>
  <si>
    <t>Average rate change achieved on renewal, effective 1 January of the accident year shown. Source: underwriting rate monitoring return.</t>
  </si>
  <si>
    <t>Table 4: Raw earned premium by rating group (£000)</t>
  </si>
  <si>
    <t>Premium earned in the accident year, net of acquisition costs deducted at source. Source: finance system.</t>
  </si>
  <si>
    <t>Data Validation - detection and correction of defects in the source data</t>
  </si>
  <si>
    <t>Satisfies Part 1 requirement 3 (data validation and sensitivity checks on the input data).</t>
  </si>
  <si>
    <t>Validation rules applied to the raw paid triangles</t>
  </si>
  <si>
    <t>R1</t>
  </si>
  <si>
    <t>Every in-triangle cell must contain a number. Blank cells and text entries are flagged as missing. The link from a source cell preserves a genuine blank as blank, rather than letting it read through as zero, so that a missing entry is caught here and not mistaken for a real, reported zero later in rule R3.</t>
  </si>
  <si>
    <t>R2</t>
  </si>
  <si>
    <t>Cumulative paid claims cannot fall as development age increases, because the account carries no salvage or subrogation recoveries (see Parameters, Table 10). A cell at or below its predecessor is flagged.</t>
  </si>
  <si>
    <t>R3</t>
  </si>
  <si>
    <t>A link ratio above the outlier bound Val_ratio_max is implausible for this class and is flagged as a probable keying error. A zero or negative predecessor is flagged directly without attempting the division, since the ratio is undefined in that case.</t>
  </si>
  <si>
    <t>R4</t>
  </si>
  <si>
    <t>Where the predecessor cell is itself flagged, no ratio test is applied to the current cell, so that a single defect is not double-counted. The defect does however cascade: the successor of a corrupted cell is tested against the corrupted value and may be flagged in turn.</t>
  </si>
  <si>
    <t>R5</t>
  </si>
  <si>
    <t>Rate changes outside the range Val_rate_min to Val_rate_max are flagged and corrected manually against the underwriting rate monitoring return.</t>
  </si>
  <si>
    <t>Correction rule</t>
  </si>
  <si>
    <t>A flagged cell is replaced by the preceding validated cell multiplied by the volume-weighted average link ratio for that development step, computed from clean cells only. This preserves the observed development shape of the group without importing the defect.</t>
  </si>
  <si>
    <t>Cells at development age 12 months have no predecessor and cannot be corrected this way; check C4 confirms that no such cell is flagged.</t>
  </si>
  <si>
    <t>Raw as received (£000)</t>
  </si>
  <si>
    <t>Defect flags (1 = flagged)</t>
  </si>
  <si>
    <t>Clean numeric values (£000)</t>
  </si>
  <si>
    <t>Validated cumulative paid (£000)</t>
  </si>
  <si>
    <t>12</t>
  </si>
  <si>
    <t>24</t>
  </si>
  <si>
    <t>36</t>
  </si>
  <si>
    <t>48</t>
  </si>
  <si>
    <t>60</t>
  </si>
  <si>
    <t>72</t>
  </si>
  <si>
    <t>Volume-weighted average link ratio, computed from clean cells only (a cell pair is used only where both cells are unflagged, numeric and inside the triangle)</t>
  </si>
  <si>
    <t>12-24</t>
  </si>
  <si>
    <t>24-36</t>
  </si>
  <si>
    <t>36-48</t>
  </si>
  <si>
    <t>48-60</t>
  </si>
  <si>
    <t>60-72</t>
  </si>
  <si>
    <t>Clean link ratio</t>
  </si>
  <si>
    <t>Cells flagged</t>
  </si>
  <si>
    <t>Validation of the rate change history (Rule R5)</t>
  </si>
  <si>
    <t>A rate change outside the plausible range is almost certainly a decimal misplacement. The corrected value below is taken from the underwriting rate monitoring return and entered manually rather than derived, so that the correction is visible and attributable.</t>
  </si>
  <si>
    <t>Raw A</t>
  </si>
  <si>
    <t>Raw B</t>
  </si>
  <si>
    <t>Raw C</t>
  </si>
  <si>
    <t>Flag A</t>
  </si>
  <si>
    <t>Flag B</t>
  </si>
  <si>
    <t>Flag C</t>
  </si>
  <si>
    <t>Valid. A</t>
  </si>
  <si>
    <t>Valid. B</t>
  </si>
  <si>
    <t>Valid. C</t>
  </si>
  <si>
    <t>Manual correction applied</t>
  </si>
  <si>
    <t>Corrected rate change (Group C, 2024)</t>
  </si>
  <si>
    <t>Reason for the correction</t>
  </si>
  <si>
    <t>Rate monitoring return records +10.0%; the extract shows +100.0%, a misplaced decimal point.</t>
  </si>
  <si>
    <t>Sensitivity of the correction</t>
  </si>
  <si>
    <t>Effect on Group C 2020 on-level factor if left uncorrected</t>
  </si>
  <si>
    <t>Parameters and Assumptions</t>
  </si>
  <si>
    <t>Satisfies Part 1 requirement 2. Blue cells are inputs; yellow fill marks a judgemental assumption. Column G gives the defined name where one exists; column H gives the source or rationale.</t>
  </si>
  <si>
    <t>Table 5: Rating group definition and exposure</t>
  </si>
  <si>
    <t>Descriptive parameters for the three rating groups that make up the Commercial Motor account.</t>
  </si>
  <si>
    <t>Parameter</t>
  </si>
  <si>
    <t>Defined name</t>
  </si>
  <si>
    <t>Source / rationale</t>
  </si>
  <si>
    <t>Vehicles on cover at 31 December 2025</t>
  </si>
  <si>
    <t>Policy administration system, in-force listing.</t>
  </si>
  <si>
    <t>Average sum insured per vehicle (£000)</t>
  </si>
  <si>
    <t>Policy administration system, weighted by exposure.</t>
  </si>
  <si>
    <t>Salvage and subrogation recoveries netted in data</t>
  </si>
  <si>
    <t>No</t>
  </si>
  <si>
    <t>Confirmed with claims manager; supports validation rule R2.</t>
  </si>
  <si>
    <t>Expense ratio (% of earned premium)</t>
  </si>
  <si>
    <t>Exp_ratio</t>
  </si>
  <si>
    <t>Management accounts, three-year average. Used for the combined ratio only.</t>
  </si>
  <si>
    <t>Table 6: Economic and expense assumptions</t>
  </si>
  <si>
    <t>Applied uniformly across the three rating groups unless stated otherwise.</t>
  </si>
  <si>
    <t>Value</t>
  </si>
  <si>
    <t>Past claims severity trend (per annum)</t>
  </si>
  <si>
    <t>Loss_trend</t>
  </si>
  <si>
    <t>Internal severity study over accident years 2018-2025, corroborated by ABI motor claims inflation indices. Judgemental.</t>
  </si>
  <si>
    <t>Cost of capital / discount rate (per annum)</t>
  </si>
  <si>
    <t>Disc_rate</t>
  </si>
  <si>
    <t>Board-approved cost of capital. Used for the discounted view only.</t>
  </si>
  <si>
    <t>Table 7: A priori loss ratio and credibility parameters</t>
  </si>
  <si>
    <t>Used to derive the a priori loss ratio underlying the Expected Claims and Bornhuetter-Ferguson bases.</t>
  </si>
  <si>
    <t>Business plan ultimate loss ratio (2025 rate and cost level)</t>
  </si>
  <si>
    <t>Plan_LR</t>
  </si>
  <si>
    <t>2026 business plan approved by the Board, being the complement of credibility.</t>
  </si>
  <si>
    <t>Full credibility standard (number of claims)</t>
  </si>
  <si>
    <t>Cred_full</t>
  </si>
  <si>
    <t>Limited fluctuation standard for 90% probability of being within 5% of expected claim frequency.</t>
  </si>
  <si>
    <t>Accident years used for the experience indication</t>
  </si>
  <si>
    <t>Cred_mature</t>
  </si>
  <si>
    <t>The three oldest accident years, being the most fully developed. Judgemental.</t>
  </si>
  <si>
    <t>Table 8: Extension scenario parameters</t>
  </si>
  <si>
    <t>Instruction of the Chief Actuary dated 12 February 2026. These parameters drive the extension scenario only; setting the shock to zero and the tail factors to 1.000 reproduces the base scenarios exactly.</t>
  </si>
  <si>
    <t>Tail factor beyond 72 months development</t>
  </si>
  <si>
    <t>Ext_tail</t>
  </si>
  <si>
    <t>Benchmarked against the ABI market development pattern for commercial motor. Judgemental.</t>
  </si>
  <si>
    <t>Average lag of tail payments beyond 72 months (years)</t>
  </si>
  <si>
    <t>Ext_taillag</t>
  </si>
  <si>
    <t>Judgemental, reflecting the settlement profile of large bodily injury claims.</t>
  </si>
  <si>
    <t>Additional claims inflation on unpaid amounts (per annum)</t>
  </si>
  <si>
    <t>Ext_shock</t>
  </si>
  <si>
    <t>Chief Actuary instruction, reflecting the Ogden discount rate review and observed care-cost inflation. Judgemental.</t>
  </si>
  <si>
    <t>Table 9: Adverse Development Cover terms</t>
  </si>
  <si>
    <t>Indicative terms quoted by the reinsurer on 3 February 2026 for a cover attaching to the booked reserve for the whole account.</t>
  </si>
  <si>
    <t>Attachment point (% of booked reserve)</t>
  </si>
  <si>
    <t>ADC_att</t>
  </si>
  <si>
    <t>Reinsurer quotation.</t>
  </si>
  <si>
    <t>Exhaustion point (% of booked reserve)</t>
  </si>
  <si>
    <t>ADC_exh</t>
  </si>
  <si>
    <t>Rate on line (% of limit)</t>
  </si>
  <si>
    <t>ADC_rol</t>
  </si>
  <si>
    <t>Table 10: Validation thresholds and modelling conventions</t>
  </si>
  <si>
    <t>Thresholds used by the validation rules on the Data Validation sheet, and conventions adopted throughout the model.</t>
  </si>
  <si>
    <t>Maximum plausible link ratio (outlier bound)</t>
  </si>
  <si>
    <t>Val_ratio_max</t>
  </si>
  <si>
    <t>Set well above the largest observed 12-24 month factor of about 2.1, so that only gross keying errors are caught.</t>
  </si>
  <si>
    <t>Minimum plausible annual rate change</t>
  </si>
  <si>
    <t>Val_rate_min</t>
  </si>
  <si>
    <t>Judgemental bound on the underwriting rate monitoring return.</t>
  </si>
  <si>
    <t>Maximum plausible annual rate change</t>
  </si>
  <si>
    <t>Val_rate_max</t>
  </si>
  <si>
    <t>Development ages modelled (months)</t>
  </si>
  <si>
    <t>Six development periods observed; beyond this the tail factor applies.</t>
  </si>
  <si>
    <t>Timing convention for payments within a period</t>
  </si>
  <si>
    <t>End of period</t>
  </si>
  <si>
    <t>Simplifying convention; stated as an assumption in the Audit Trail.</t>
  </si>
  <si>
    <t>Stage 1 - Development factors</t>
  </si>
  <si>
    <t>Age-to-age factors are calculated from the validated cumulative paid triangles. The selection is the volume-weighted all-year average, which gives greater weight to the larger and more stable accident years. Base scenarios carry no tail; the tail is introduced only in the extension scenario.</t>
  </si>
  <si>
    <t>Individual age-to-age factors</t>
  </si>
  <si>
    <t>Development age (months)</t>
  </si>
  <si>
    <t>Selected LDF (volume-weighted, all years)</t>
  </si>
  <si>
    <t>CDF to 72 months - base (no tail)</t>
  </si>
  <si>
    <t>% of ultimate paid at each age - base</t>
  </si>
  <si>
    <t>Check: selected factors are non-increasing and at least 1.000</t>
  </si>
  <si>
    <t>Base Scenario 1 - Chain Ladder</t>
  </si>
  <si>
    <t>Ultimate claims are the latest cumulative paid amount grossed up by the cumulative development factor for the corresponding development age. The method uses only the experience of the account and makes no use of premium.</t>
  </si>
  <si>
    <t>Paid to date (£000)</t>
  </si>
  <si>
    <t>CDF</t>
  </si>
  <si>
    <t>Ultimate claims (£000)</t>
  </si>
  <si>
    <t>Reserve (£000)</t>
  </si>
  <si>
    <t>% paid to date</t>
  </si>
  <si>
    <t>Total</t>
  </si>
  <si>
    <t>Check: every ultimate is at least the paid to date</t>
  </si>
  <si>
    <t>Portfolio total - all rating groups</t>
  </si>
  <si>
    <t>Stage 2 - On-levelling, loss trend and the credibility-weighted a priori loss ratio</t>
  </si>
  <si>
    <t>On-levelling restates historical earned premium to the rate level of the latest accident year; the loss trend restates historical claims to the latest cost level. Together they make the historical loss ratios comparable. The resulting experience indication is then blended with the business plan loss ratio using limited fluctuation credibility, giving the a priori loss ratio used by the Expected Claims and Bornhuetter-Ferguson bases.</t>
  </si>
  <si>
    <t>Rate change (validated)</t>
  </si>
  <si>
    <t>Cumulative rate index</t>
  </si>
  <si>
    <t>On-level factor</t>
  </si>
  <si>
    <t>Earned premium (£000)</t>
  </si>
  <si>
    <t>On-level premium (£000)</t>
  </si>
  <si>
    <t>Trend factor</t>
  </si>
  <si>
    <t>Chain Ladder ultimate (£000)</t>
  </si>
  <si>
    <t>Trended ultimate (£000)</t>
  </si>
  <si>
    <t>Include in indication</t>
  </si>
  <si>
    <t>Derivation of the a priori loss ratio (at 2025 rate and cost level)</t>
  </si>
  <si>
    <t>Accident years used for the experience indication (oldest first)</t>
  </si>
  <si>
    <t>Trended ultimate claims over those years (£000)</t>
  </si>
  <si>
    <t>On-level earned premium over those years (£000)</t>
  </si>
  <si>
    <t>Experience indication - on-level ultimate loss ratio</t>
  </si>
  <si>
    <t>Reported claims over those years</t>
  </si>
  <si>
    <t>Full credibility standard (claims)</t>
  </si>
  <si>
    <t>Credibility factor Z = min(1, sqrt(n / n_full))</t>
  </si>
  <si>
    <t>Business plan loss ratio (complement of credibility)</t>
  </si>
  <si>
    <t>A priori loss ratio = Z x indication + (1-Z) x plan</t>
  </si>
  <si>
    <t>Check: Z lies in [0,1] and the a priori lies between the indication and the plan</t>
  </si>
  <si>
    <t>Check: the latest accident year on-level factor equals 1.0000</t>
  </si>
  <si>
    <t>Base Scenario 2 - Expected Claims</t>
  </si>
  <si>
    <t>Ultimate claims are the a priori loss ratio applied to on-level earned premium and then restated to the cost level of the accident year. The method ignores the claims reported to date and therefore gives a stable answer for immature years but can conflict with actual experience for mature years.</t>
  </si>
  <si>
    <t>Expected ultimate = On-level premium x A priori loss ratio / Trend factor.</t>
  </si>
  <si>
    <t>Expected loss ratio</t>
  </si>
  <si>
    <t>Implied reserve (£000)</t>
  </si>
  <si>
    <t>Check: any accident year where the expected ultimate falls below the paid to date</t>
  </si>
  <si>
    <t>A negative implied reserve is a genuine feature of this method, not an error: it means actual paid claims have already exceeded the premium-based expectation. It is reported rather than floored, and is discussed in the Audit Trail.</t>
  </si>
  <si>
    <t>Base Scenario 3 - Bornhuetter-Ferguson</t>
  </si>
  <si>
    <t>The Bornhuetter-Ferguson ultimate accepts the claims already paid and adds the unpaid portion implied by the development pattern applied to the expected claims from Scenario 2. It therefore behaves like the Chain Ladder for mature years and like the Expected Claims method for immature years.</t>
  </si>
  <si>
    <t>BF ultimate = Paid to date + Expected ultimate x (1 - 1 / CDF).</t>
  </si>
  <si>
    <t>% unpaid (1 - 1/CDF)</t>
  </si>
  <si>
    <t>Expected ultimate (£000)</t>
  </si>
  <si>
    <t>Check: in every accident year the BF ultimate lies between the Chain Ladder and Expected Claims ultimates</t>
  </si>
  <si>
    <t>This test is applied accident year by accident year. It need not hold for the column totals, because the ordering of the two comparators changes between years.</t>
  </si>
  <si>
    <t>Extension Scenario - tail factor and claims inflation shock</t>
  </si>
  <si>
    <t>Instruction of the Chief Actuary dated 12 February 2026: recognise claims development beyond the observed 72 months by way of a tail factor, and apply an additional rate of claims inflation to all amounts still unpaid at the reserving date. The instruction is applied to all three base scenarios so that the effect can be compared on a consistent footing.</t>
  </si>
  <si>
    <t>Setting Ext_shock to zero and every Ext_tail to 1.0000 on the Parameters sheet reproduces the base scenarios exactly; check C7 on the Checks sheet relies on this.</t>
  </si>
  <si>
    <t>Step E1 - revised development factors</t>
  </si>
  <si>
    <t>Tail</t>
  </si>
  <si>
    <t>Base CDF (no tail)</t>
  </si>
  <si>
    <t>Tail factor beyond 72 months</t>
  </si>
  <si>
    <t>Revised CDF (base x tail)</t>
  </si>
  <si>
    <t>% of ultimate paid - revised</t>
  </si>
  <si>
    <t>Incremental % paid in the period</t>
  </si>
  <si>
    <t>Step E2 - average lag of the remaining payments and the resulting inflation uplift</t>
  </si>
  <si>
    <t>Contribution of each future period to the weighted average lag, measured in years from the reserving date. Payments are assumed to fall at the end of each development period.</t>
  </si>
  <si>
    <t>Dev age (months)</t>
  </si>
  <si>
    <t>% still unpaid</t>
  </si>
  <si>
    <t>Lag wt 24</t>
  </si>
  <si>
    <t>Lag wt 36</t>
  </si>
  <si>
    <t>Lag wt 48</t>
  </si>
  <si>
    <t>Lag wt 60</t>
  </si>
  <si>
    <t>Lag wt 72</t>
  </si>
  <si>
    <t>Lag wt tail</t>
  </si>
  <si>
    <t>Weighted total</t>
  </si>
  <si>
    <t>Average lag (yrs)</t>
  </si>
  <si>
    <t>Uplift factor</t>
  </si>
  <si>
    <t>Step E3 - revised a priori loss ratio (the tail also raises the ultimates that feed the experience indication)</t>
  </si>
  <si>
    <t>Revised CDF</t>
  </si>
  <si>
    <t>Revised CL ultimate (£000)</t>
  </si>
  <si>
    <t>Include</t>
  </si>
  <si>
    <t>Revised experience indication</t>
  </si>
  <si>
    <t>Credibility factor Z (unchanged - claim counts are unaffected)</t>
  </si>
  <si>
    <t>Business plan loss ratio</t>
  </si>
  <si>
    <t>Revised a priori loss ratio</t>
  </si>
  <si>
    <t>Step E4 - revised ultimates under all three base scenarios</t>
  </si>
  <si>
    <t>The tail factor is applied first, then the inflation uplift is applied to the amount still unpaid. Where a method already implies a negative unpaid amount the uplift is not applied, since inflating a negative balance would be meaningless.</t>
  </si>
  <si>
    <t>CL after tail</t>
  </si>
  <si>
    <t>EC after tail</t>
  </si>
  <si>
    <t>BF after tail</t>
  </si>
  <si>
    <t>CL final (£000)</t>
  </si>
  <si>
    <t>EC final (£000)</t>
  </si>
  <si>
    <t>BF final (£000)</t>
  </si>
  <si>
    <t>CL reserve</t>
  </si>
  <si>
    <t>EC reserve</t>
  </si>
  <si>
    <t>BF reserve</t>
  </si>
  <si>
    <t>Check: every extension ultimate is at least the corresponding base ultimate</t>
  </si>
  <si>
    <t>CL ultimate</t>
  </si>
  <si>
    <t>EC ultimate</t>
  </si>
  <si>
    <t>BF ultimate</t>
  </si>
  <si>
    <t>Adverse Development Cover - layer analysis and break-even claims inflation</t>
  </si>
  <si>
    <t>The reinsurer has offered an Adverse Development Cover attaching above the booked reserve for the whole account, sized to whichever reserving basis is booked. Because the three bases produce different reserves, each would in practice be attached by a differently sized cover. This sheet values the cover under all three bases side by side, so the reserving committee can see how the choice of basis itself changes the reinsurance economics, and then highlights the figures for whichever basis is recommended.</t>
  </si>
  <si>
    <t>Layer structure and outcome, by reserving basis</t>
  </si>
  <si>
    <t>Each column is self-contained: its own booked reserve, its own attachment and exhaustion points, and its own outcome against the extension scenario. Figures are not comparable to a single shared layer, because each basis would in practice be reinsured on its own terms.</t>
  </si>
  <si>
    <t>Chain Ladder</t>
  </si>
  <si>
    <t>Expected Claims</t>
  </si>
  <si>
    <t>Bornhuetter-Ferguson</t>
  </si>
  <si>
    <t>Booked reserve, base scenario (£000)</t>
  </si>
  <si>
    <t>Attachment point (£000)</t>
  </si>
  <si>
    <t>Exhaustion point (£000)</t>
  </si>
  <si>
    <t>Limit of cover (£000)</t>
  </si>
  <si>
    <t>Reinsurance premium payable (£000)</t>
  </si>
  <si>
    <t>Extension scenario reserve (£000)</t>
  </si>
  <si>
    <t>Recovery under the extension scenario (£000)</t>
  </si>
  <si>
    <t>Net benefit of the cover (£000)</t>
  </si>
  <si>
    <t>Check: recovery does not exceed the limit of cover, and is not negative, for any basis</t>
  </si>
  <si>
    <t>Recommended basis for booking</t>
  </si>
  <si>
    <t>Enter one of: Chain Ladder / Expected Claims / Bornhuetter-Ferguson</t>
  </si>
  <si>
    <t>The figures below look up the matching column from the table above using INDEX and MATCH: MATCH finds which row of the table the metric named in column B corresponds to, and separately which column matches the basis named above; INDEX then returns the single cell where that row and column intersect.</t>
  </si>
  <si>
    <t>Sensitivity of the reserve to the rate of additional claims inflation, by basis</t>
  </si>
  <si>
    <t>Neither the a priori loss ratio nor the tail factor depends on the inflation shock, and nor does the average payment lag. The reserve at any shock rate can therefore be written directly, for each basis, as the sum across accident years and rating groups of the unpaid amount after the tail (floored at zero, since a method that already implies a negative unpaid balance is not inflated further) accumulated at one plus the shock raised to the average lag. This is evaluated for all three bases in parallel, so the guard against a negative unpaid balance is applied uniformly rather than relying on it never binding for one basis only.</t>
  </si>
  <si>
    <t>Additional claims
inflation</t>
  </si>
  <si>
    <t>Chain Ladder reserve (£000)</t>
  </si>
  <si>
    <t>Expected Claims reserve (£000)</t>
  </si>
  <si>
    <t>Bornhuetter-Ferguson reserve (£000)</t>
  </si>
  <si>
    <t>Recommended attachment</t>
  </si>
  <si>
    <t>Recommended exhaustion</t>
  </si>
  <si>
    <t>Break-even rates of additional claims inflation, by basis</t>
  </si>
  <si>
    <t>For each basis, the break-even rate is read off that basis’s own column above by INDEX and MATCH, with linear interpolation between the two bracketing rows, and tested against that basis’s own attachment and exhaustion points.</t>
  </si>
  <si>
    <t>Shock at which the cover begins to respond (attachment)</t>
  </si>
  <si>
    <t>Shock at which the cover is exhausted</t>
  </si>
  <si>
    <t>Reserve with the tail factor but no inflation shock (£000)</t>
  </si>
  <si>
    <t>Shock assumed in the extension scenario</t>
  </si>
  <si>
    <t>Check: for every basis, the break-even rates lie inside the tabulated range and are correctly ordered</t>
  </si>
  <si>
    <t>Recommended basis - break-even summary</t>
  </si>
  <si>
    <t>Summary of Results</t>
  </si>
  <si>
    <t>All figures in GBP thousands unless shown as a percentage. Reserve means the total unpaid claim liability at 31 December 2025, being ultimate claims less claims paid to date.</t>
  </si>
  <si>
    <t>Table A: Reserve by rating group and basis - base scenarios (£000)</t>
  </si>
  <si>
    <t>Rating group</t>
  </si>
  <si>
    <t>Portfolio total</t>
  </si>
  <si>
    <t>Table B: Reserve by rating group and basis - extension scenario (£000)</t>
  </si>
  <si>
    <t>Table C: Effect of the extension scenario on the portfolio reserve</t>
  </si>
  <si>
    <t>Reserving basis</t>
  </si>
  <si>
    <t>Base reserve (£000)</t>
  </si>
  <si>
    <t>Extension reserve (£000)</t>
  </si>
  <si>
    <t>Increase (£000)</t>
  </si>
  <si>
    <t>Increase (%)</t>
  </si>
  <si>
    <t>Range across the three bases (£000)</t>
  </si>
  <si>
    <t>Table D: Ultimate loss ratio by accident year - Bornhuetter-Ferguson basis</t>
  </si>
  <si>
    <t>Ultimate claims divided by earned premium, at the rate level actually charged in each accident year.</t>
  </si>
  <si>
    <t>Group A base</t>
  </si>
  <si>
    <t>Group B base</t>
  </si>
  <si>
    <t>Group C base</t>
  </si>
  <si>
    <t>Group A extension</t>
  </si>
  <si>
    <t>Group B extension</t>
  </si>
  <si>
    <t>Group C extension</t>
  </si>
  <si>
    <t>Table E: Key metrics on the booked (Bornhuetter-Ferguson) basis</t>
  </si>
  <si>
    <t>Earned premium 2025 (£000)</t>
  </si>
  <si>
    <t>Reserve as % of 2025 premium</t>
  </si>
  <si>
    <t>Ultimate loss ratio 2025</t>
  </si>
  <si>
    <t>Expense ratio</t>
  </si>
  <si>
    <t>Combined ratio 2025</t>
  </si>
  <si>
    <t>100% break-even</t>
  </si>
  <si>
    <t>Portfolio</t>
  </si>
  <si>
    <t>Check: the reserve on every basis is positive and below three times the 2025 earned premium</t>
  </si>
  <si>
    <t>Table F: Proportion of ultimate claims paid by development age - base scenarios</t>
  </si>
  <si>
    <t>Table G: Adverse Development Cover, by reserving basis (each basis on its own layer terms)</t>
  </si>
  <si>
    <t>Metric</t>
  </si>
  <si>
    <t>Additional claims inflation that would exhaust the cover</t>
  </si>
  <si>
    <t>Recommended basis for booking (see ADC sheet)</t>
  </si>
  <si>
    <t>Consolidated Check Dashboard</t>
  </si>
  <si>
    <t>Every calculation stage in the model has at least one check. A check reads OK when it passes. The overall status below is the only cell that needs to be inspected before the model is relied upon; if it does not read ALL CHECKS PASS, the failing check is identified in the table.</t>
  </si>
  <si>
    <t>Overall status</t>
  </si>
  <si>
    <t>Ref</t>
  </si>
  <si>
    <t>Check</t>
  </si>
  <si>
    <t>Stage covered</t>
  </si>
  <si>
    <t>Result</t>
  </si>
  <si>
    <t>Source</t>
  </si>
  <si>
    <t>C1</t>
  </si>
  <si>
    <t>Five cells are flagged in the paid triangles, arising from the four root defects documented in the Audit Trail: the order-of-magnitude error in Group C also causes the following cell to fail the monotonicity test</t>
  </si>
  <si>
    <t>Data validation</t>
  </si>
  <si>
    <t>Data Validation, flag grids</t>
  </si>
  <si>
    <t>C1b</t>
  </si>
  <si>
    <t>Exactly one defect is detected in the rate change history and a manual correction has been supplied for it</t>
  </si>
  <si>
    <t>Data Validation, rate table</t>
  </si>
  <si>
    <t>C2</t>
  </si>
  <si>
    <t>No defect arises at 12 months development, where the correction rule cannot be applied</t>
  </si>
  <si>
    <t>C3</t>
  </si>
  <si>
    <t>Every cell of the validated triangles holds a number</t>
  </si>
  <si>
    <t>Data Validation, validated triangles</t>
  </si>
  <si>
    <t>C4</t>
  </si>
  <si>
    <t>Validated cumulative paid claims never fall as development age increases</t>
  </si>
  <si>
    <t>Dev Factors, factor grids</t>
  </si>
  <si>
    <t>C5</t>
  </si>
  <si>
    <t>Every validated rate change lies within the plausible bounds</t>
  </si>
  <si>
    <t>C6A</t>
  </si>
  <si>
    <t>Group A: selected development factors are at least 1.0000 and non-increasing</t>
  </si>
  <si>
    <t>Development factors</t>
  </si>
  <si>
    <t>Dev Factors H17</t>
  </si>
  <si>
    <t>C6B</t>
  </si>
  <si>
    <t>Group B: selected development factors are at least 1.0000 and non-increasing</t>
  </si>
  <si>
    <t>Dev Factors H32</t>
  </si>
  <si>
    <t>C6C</t>
  </si>
  <si>
    <t>Group C: selected development factors are at least 1.0000 and non-increasing</t>
  </si>
  <si>
    <t>Dev Factors H47</t>
  </si>
  <si>
    <t>C7A</t>
  </si>
  <si>
    <t>Group A: the on-level factor for the latest accident year equals 1.0000</t>
  </si>
  <si>
    <t>On-levelling</t>
  </si>
  <si>
    <t>On-Level &amp; Cred C25</t>
  </si>
  <si>
    <t>C7B</t>
  </si>
  <si>
    <t>Group B: the on-level factor for the latest accident year equals 1.0000</t>
  </si>
  <si>
    <t>On-Level &amp; Cred C47</t>
  </si>
  <si>
    <t>C7C</t>
  </si>
  <si>
    <t>Group C: the on-level factor for the latest accident year equals 1.0000</t>
  </si>
  <si>
    <t>On-Level &amp; Cred C69</t>
  </si>
  <si>
    <t>C8A</t>
  </si>
  <si>
    <t>Group A: credibility factor lies in [0,1] and the a priori lies between the indication and the plan</t>
  </si>
  <si>
    <t>Credibility</t>
  </si>
  <si>
    <t>On-Level &amp; Cred C24</t>
  </si>
  <si>
    <t>C8B</t>
  </si>
  <si>
    <t>Group B: credibility factor lies in [0,1] and the a priori lies between the indication and the plan</t>
  </si>
  <si>
    <t>On-Level &amp; Cred C46</t>
  </si>
  <si>
    <t>C8C</t>
  </si>
  <si>
    <t>Group C: credibility factor lies in [0,1] and the a priori lies between the indication and the plan</t>
  </si>
  <si>
    <t>On-Level &amp; Cred C68</t>
  </si>
  <si>
    <t>C9A</t>
  </si>
  <si>
    <t>Group A: every Chain Ladder ultimate is at least the claims already paid</t>
  </si>
  <si>
    <t>Scenario 1</t>
  </si>
  <si>
    <t>S1 Chain Ladder F14</t>
  </si>
  <si>
    <t>C9B</t>
  </si>
  <si>
    <t>Group B: every Chain Ladder ultimate is at least the claims already paid</t>
  </si>
  <si>
    <t>S1 Chain Ladder F27</t>
  </si>
  <si>
    <t>C9C</t>
  </si>
  <si>
    <t>Group C: every Chain Ladder ultimate is at least the claims already paid</t>
  </si>
  <si>
    <t>S1 Chain Ladder F40</t>
  </si>
  <si>
    <t>C10A</t>
  </si>
  <si>
    <t>Group A: accident years where the Expected Claims ultimate falls below paid to date</t>
  </si>
  <si>
    <t>Scenario 2</t>
  </si>
  <si>
    <t>S2 Expected Claims F15</t>
  </si>
  <si>
    <t>C10B</t>
  </si>
  <si>
    <t>Group B: accident years where the Expected Claims ultimate falls below paid to date</t>
  </si>
  <si>
    <t>S2 Expected Claims F28</t>
  </si>
  <si>
    <t>C10C</t>
  </si>
  <si>
    <t>Group C: accident years where the Expected Claims ultimate falls below paid to date</t>
  </si>
  <si>
    <t>S2 Expected Claims F41</t>
  </si>
  <si>
    <t>C11A</t>
  </si>
  <si>
    <t>Group A: in every accident year the BF ultimate lies between the other two bases</t>
  </si>
  <si>
    <t>Scenario 3</t>
  </si>
  <si>
    <t>S3 BF G15</t>
  </si>
  <si>
    <t>C11B</t>
  </si>
  <si>
    <t>Group B: in every accident year the BF ultimate lies between the other two bases</t>
  </si>
  <si>
    <t>S3 BF G28</t>
  </si>
  <si>
    <t>C11C</t>
  </si>
  <si>
    <t>Group C: in every accident year the BF ultimate lies between the other two bases</t>
  </si>
  <si>
    <t>S3 BF G41</t>
  </si>
  <si>
    <t>C12A</t>
  </si>
  <si>
    <t>Group A: every extension ultimate is at least the corresponding base ultimate</t>
  </si>
  <si>
    <t>Extension H51</t>
  </si>
  <si>
    <t>C12B</t>
  </si>
  <si>
    <t>Group B: every extension ultimate is at least the corresponding base ultimate</t>
  </si>
  <si>
    <t>Extension H100</t>
  </si>
  <si>
    <t>C12C</t>
  </si>
  <si>
    <t>Group C: every extension ultimate is at least the corresponding base ultimate</t>
  </si>
  <si>
    <t>Extension H149</t>
  </si>
  <si>
    <t>C13</t>
  </si>
  <si>
    <t>Reduction test: the extension Chain Ladder ultimate before the inflation uplift equals the base ultimate multiplied by the tail factor, so that setting the tail to 1.0000 and the shock to zero reproduces the base scenarios</t>
  </si>
  <si>
    <t>Extension, step E4</t>
  </si>
  <si>
    <t>C13b</t>
  </si>
  <si>
    <t>The revised payment pattern is complete: the proportion paid at 12 months, plus every later increment, plus the tail increment, sums to 100% in each group</t>
  </si>
  <si>
    <t>Extension, step E1</t>
  </si>
  <si>
    <t>C13c</t>
  </si>
  <si>
    <t>Average payment lags are positive and no longer than the modelled horizon, and every inflation uplift factor is at least 1.0000</t>
  </si>
  <si>
    <t>Extension, step E2</t>
  </si>
  <si>
    <t>C14</t>
  </si>
  <si>
    <t>Claims paid to date agree across all four scenario sheets</t>
  </si>
  <si>
    <t>Cross-sheet consistency</t>
  </si>
  <si>
    <t>Portfolio total rows</t>
  </si>
  <si>
    <t>C15</t>
  </si>
  <si>
    <t>Portfolio reserve equals portfolio ultimate less claims paid, on every basis and in both scenarios</t>
  </si>
  <si>
    <t>C16</t>
  </si>
  <si>
    <t>The reserve on every basis is positive and stays below three times the latest year premium</t>
  </si>
  <si>
    <t>Reasonableness</t>
  </si>
  <si>
    <t>Summary E44</t>
  </si>
  <si>
    <t>C17</t>
  </si>
  <si>
    <t>No reinsurance recovery exceeds the limit of cover, and no recovery is negative, for any of the three bases</t>
  </si>
  <si>
    <t>Reinsurance</t>
  </si>
  <si>
    <t>ADC C17</t>
  </si>
  <si>
    <t>C18</t>
  </si>
  <si>
    <t>For every basis, the break-even inflation rates lie inside the tabulated range and are correctly ordered</t>
  </si>
  <si>
    <t>ADC C97</t>
  </si>
  <si>
    <t>Note on C10</t>
  </si>
  <si>
    <t>C10 may read SEE NOTE rather than OK. That is not a modelling error: the Expected Claims method takes no account of claims already paid, so for a mature accident year whose experience has run above expectation the method can imply a negative unpaid amount. The result is reported as it stands and discussed in the Audit Trail and the Summary document.</t>
  </si>
  <si>
    <t>This audit trail is written for two readers. A senior actuary approving the work should be able to follow the reasoning, see where judgement has been exercised and satisfy themselves that the result is defensible. A fellow student taking the model over should be able to find any number, understand why it is calculated the way it is and change it safely. Section references are to worksheet names; cell references are given wherever a formula would otherwise be hard to locate.</t>
  </si>
  <si>
    <t>1. Purpose and objectives</t>
  </si>
  <si>
    <t>1.1</t>
  </si>
  <si>
    <t>Northgate Mutual Insurance Society writes a Commercial Motor account split into three rating groups. The model estimates the unpaid claim liability for that account at the reserving date of 31 December 2025 and supports three decisions.</t>
  </si>
  <si>
    <t>1.2</t>
  </si>
  <si>
    <t>First, which reserving basis the reserving committee should book. Three bases are calculated in full: Chain Ladder, Expected Claims and Bornhuetter-Ferguson. They are alternative answers to the same question and the spread between them measures the uncertainty in the booked figure.</t>
  </si>
  <si>
    <t>1.3</t>
  </si>
  <si>
    <t>Second, how the booked figure behaves under an adverse scenario. The Chief Actuary has instructed that development beyond the observed 72 months be recognised through a tail factor, and that an additional rate of claims inflation be applied to everything still unpaid. The instruction is applied to all three bases so the comparison stays like for like.</t>
  </si>
  <si>
    <t>1.4</t>
  </si>
  <si>
    <t>Third, whether to buy the Adverse Development Cover offered by the reinsurer, and what rate of claims inflation would exhaust it.</t>
  </si>
  <si>
    <t>1.5</t>
  </si>
  <si>
    <t>All monetary amounts are in GBP thousands. The reserve throughout means the total unpaid claim liability, that is ultimate claims less claims paid to date. Because only paid data is available, this figure covers both case reserves and claims incurred but not reported; it is not IBNR alone.</t>
  </si>
  <si>
    <t>2. How the workbook is arranged</t>
  </si>
  <si>
    <t>2.1</t>
  </si>
  <si>
    <t>The workbook runs left to right in calculation order, so any figure can be traced back by moving leftwards. Raw Data holds the source figures exactly as received and is never edited by a calculation. Data Validation detects and corrects defects. Parameters holds every input that is not claims data. Dev Factors, S1 Chain Ladder, On-Level &amp; Cred, S2 Expected Claims and S3 BF build the three base scenarios in sequence. Extension applies the Chief Actuary instruction. ADC values the reinsurance. Summary presents the comparison and the charts. Checks gathers every check into one dashboard.</t>
  </si>
  <si>
    <t>2.2</t>
  </si>
  <si>
    <t>Cell colours follow the convention set out on the Cover sheet: blue text is a hardcoded input, black text is a formula calculated on that sheet, green text is a link to another sheet, yellow fill marks a judgemental assumption and green fill marks a check.</t>
  </si>
  <si>
    <t>2.3</t>
  </si>
  <si>
    <t>The model contains no macros, no external links and no volatile functions. In particular OFFSET and INDIRECT have been avoided in favour of INDEX, so that the calculation chain is fully traceable and the file recalculates identically on any machine.</t>
  </si>
  <si>
    <t>2.4</t>
  </si>
  <si>
    <t>Anyone continuing this work should change parameters only on the Parameters sheet and source figures only on the Raw Data sheet. Everything else is formula-driven and should recalculate. After any change, look at cell C4 of the Checks sheet before relying on the output.</t>
  </si>
  <si>
    <t>3. Data and its sources</t>
  </si>
  <si>
    <t>3.1</t>
  </si>
  <si>
    <t>Table 1, cumulative paid claims. Six accident years from 2020 to 2025, each observed at up to six development ages from 12 to 72 months, for each of three rating groups. Source: claims administration system extract of 14 January 2026. The data is simulated for the purposes of this assignment but is treated throughout as though it were a genuine extract.</t>
  </si>
  <si>
    <t>3.2</t>
  </si>
  <si>
    <t>Table 2, reported claim counts. Used only to set credibility weights. Source: the same extract.</t>
  </si>
  <si>
    <t>3.3</t>
  </si>
  <si>
    <t>Table 3, history of rate changes. The average rate change achieved on renewal, taken as effective on 1 January of the accident year shown. Source: the underwriting rate monitoring return.</t>
  </si>
  <si>
    <t>3.4</t>
  </si>
  <si>
    <t>Table 4, earned premium by accident year and rating group. Source: the finance system.</t>
  </si>
  <si>
    <t>3.5</t>
  </si>
  <si>
    <t>Tables 5 to 10 on the Parameters sheet hold the remaining inputs: exposure and expense ratios, economic assumptions, the business plan loss ratios and credibility standard, the extension parameters, the reinsurance terms and the validation thresholds. Each row carries its own source note in the right-hand column.</t>
  </si>
  <si>
    <t>3.6</t>
  </si>
  <si>
    <t>The claims data is the only input that has been treated as unreliable. It was deliberately reviewed on the assumption that a systems extract can contain gaps and keying errors, and this proved to be the case.</t>
  </si>
  <si>
    <t>4. Assumptions</t>
  </si>
  <si>
    <t>4.1</t>
  </si>
  <si>
    <t>The account carries no salvage or subrogation recoveries. This was confirmed with the claims manager and is what justifies validation rule R2, that cumulative paid claims cannot fall.</t>
  </si>
  <si>
    <t>4.2</t>
  </si>
  <si>
    <t>Rate changes take effect on 1 January of the accident year shown. This allows the on-level factor to be a simple ratio of cumulative rate indices. A more exact treatment would allow for policies being written evenly through the year and earning over the following twelve months; that refinement is listed under next steps.</t>
  </si>
  <si>
    <t>4.3</t>
  </si>
  <si>
    <t>Past claims severity has trended at 5.5% a year and this rate is appropriate for restating historical accident years to the 2025 cost level.</t>
  </si>
  <si>
    <t>4.4</t>
  </si>
  <si>
    <t>The business plan loss ratios are an unbiased view of the account at 2025 rate and cost level, and are a suitable complement of credibility.</t>
  </si>
  <si>
    <t>4.5</t>
  </si>
  <si>
    <t>The three oldest accident years are sufficiently developed to give a usable experience indication. This is a judgement: at 72 months the oldest year is not fully run off, which is precisely why the tail factor matters in the extension.</t>
  </si>
  <si>
    <t>4.6</t>
  </si>
  <si>
    <t>The volume-weighted all-year average is an appropriate selection basis for development factors. No accident year has been excluded and no year weighting has been applied.</t>
  </si>
  <si>
    <t>4.7</t>
  </si>
  <si>
    <t>The development pattern is the same for every accident year within a rating group.</t>
  </si>
  <si>
    <t>4.8</t>
  </si>
  <si>
    <t>Claims payments fall at the end of each development period. This convention is used when working out the average lag of the remaining payments in the extension.</t>
  </si>
  <si>
    <t>4.9</t>
  </si>
  <si>
    <t>Tail payments beyond 72 months have an average lag of three years measured from the 72 month point.</t>
  </si>
  <si>
    <t>4.10</t>
  </si>
  <si>
    <t>The credibility standard of 1,082 claims corresponds to a 90% probability of being within 5% of expected claim frequency.</t>
  </si>
  <si>
    <t>4.11</t>
  </si>
  <si>
    <t>Claim counts are unaffected by the extension scenario, so the credibility factor is unchanged between the base and extension runs. Only the severity of the claims changes.</t>
  </si>
  <si>
    <t>4.12</t>
  </si>
  <si>
    <t>The reinsurance premium is payable in full whatever the outcome, and the reinsurer is treated as fully solvent, so no allowance is made for counterparty default.</t>
  </si>
  <si>
    <t>4.13</t>
  </si>
  <si>
    <t>The a priori loss ratio is derived once for the base scenarios and once for the extension. Within each scenario it is held fixed across all accident years.</t>
  </si>
  <si>
    <t>5. Notation used in the equations below</t>
  </si>
  <si>
    <t>5.1</t>
  </si>
  <si>
    <t>Every equation in section 6 uses the symbols defined here, and no others. Two typefaces are used deliberately: a plain italic symbol (for example i, CDFⱼ, Z) is a mathematical variable calculated somewhere in the workbook, and a bold upright name in blue (for example Loss_trend, Ext_shock) is copied character for character from a defined name on the Parameters sheet, so that it can be pasted straight into the Excel Name Box to find it. The right-hand note against each symbol gives the worksheet and column, or the defined name, where it is actually calculated or held.</t>
  </si>
  <si>
    <t>5.2</t>
  </si>
  <si>
    <t>General</t>
  </si>
  <si>
    <t>5.3</t>
  </si>
  <si>
    <t>5.4</t>
  </si>
  <si>
    <t>5.5</t>
  </si>
  <si>
    <t>5.6</t>
  </si>
  <si>
    <t>On-level, trend, credibility</t>
  </si>
  <si>
    <t>5.7</t>
  </si>
  <si>
    <t>5.8</t>
  </si>
  <si>
    <t>5.9</t>
  </si>
  <si>
    <t>5.10</t>
  </si>
  <si>
    <t>6. Methodology, stage by stage</t>
  </si>
  <si>
    <t>6.1</t>
  </si>
  <si>
    <t>Stage 1, data validation (sheet: Data Validation). Five rules are applied and are set out in full at the top of that sheet. In outline: every cell inside the triangle must hold a number; cumulative paid claims must not fall; a link ratio above the outlier bound is treated as a keying error; a cell whose predecessor is already flagged is not itself ratio-tested, so a single defect is not counted twice; and rate changes outside a plausible band are flagged.</t>
  </si>
  <si>
    <t>6.2</t>
  </si>
  <si>
    <t>Four root defects were found in the paid triangles: a text entry in Group A 2023 at 24 months, a fall in cumulative paid in Group A 2022 at 48 months, a missing entry in Group B 2021 at 36 months, and an order-of-magnitude keying error in Group C 2020 at 24 months. The last of these cascades: because the corrupted value is very large, the following cell fails the monotonicity test as well. Five cells are therefore flagged in total, and check C1 tests for five rather than four. This cascade is a feature of the rules working correctly, not a fault.</t>
  </si>
  <si>
    <t>6.2b</t>
  </si>
  <si>
    <t>The Group B entry is worth a further note. The link from the source system carries a genuinely blank cell through as blank rather than as zero, specifically so that this defect is caught by rule R1 as missing data. Had the link instead let a blank read through as zero, the cell would have passed rule R1 as a valid number, been caught only one step later by rule R2 as an implausible fall to zero, and would then have caused a division by zero when the following cell was ratio-tested against it. Rule R3 also guards against this directly, by flagging rather than dividing whenever a predecessor is zero or negative, so the same protection holds even where a genuine reported zero appears elsewhere in the data.</t>
  </si>
  <si>
    <t>6.3</t>
  </si>
  <si>
    <t>A flagged cell is replaced by the preceding validated cell multiplied by the volume-weighted average link ratio for that development step, computed from clean cells only. The clean average is built from a helper grid (columns Q to V on each block) in which any cell that is flagged, non-numeric or outside the triangle is set to zero; a pair of cells then enters the average only when both are strictly positive. This is why the SUMPRODUCT formulas in the link ratio row test for a value greater than zero.</t>
  </si>
  <si>
    <t>sum taken over the accident years for which both ages j and j+1 are observed</t>
  </si>
  <si>
    <t>6.4</t>
  </si>
  <si>
    <t>A cell at 12 months has no predecessor and cannot be corrected this way. Check C2 confirms that no such cell is flagged. If a future data extract does flag one, the correction rule will need to be extended, for example by reference to the earned premium for that year.</t>
  </si>
  <si>
    <t>6.5</t>
  </si>
  <si>
    <t>The rate change history contained one defect: a Group C figure of 100% for 2024 where the rate monitoring return records 10.0%, a misplaced decimal point. This correction is entered manually as a blue input rather than derived, so that the correction and its reason are visible. The sensitivity shown immediately below quantifies what would happen if it were left uncorrected, and confirms the correction is material rather than cosmetic.</t>
  </si>
  <si>
    <t>6.6</t>
  </si>
  <si>
    <t>Stage 2, development factors (sheet: Dev Factors). Individual age-to-age factors are the ratio of successive validated cumulative amounts. The selection is the volume-weighted all-year average, calculated as the sum of the later column over the sum of the earlier column across the accident years for which both are available. Cumulative development factors are built by multiplying the selections back from 72 months. The base scenarios carry no tail, so the factor at 72 months is 1.0000 by construction.</t>
  </si>
  <si>
    <t>6.7</t>
  </si>
  <si>
    <t>Stage 3, Chain Ladder (sheet: S1 Chain Ladder). The latest cumulative paid amount for each accident year is multiplied by the cumulative development factor for its development age. This method uses only the claims experience and takes no account of premium, so it responds fully to whatever the data says, including random movements in a thin accident year.</t>
  </si>
  <si>
    <t>6.8</t>
  </si>
  <si>
    <t>Stage 4, on-levelling, trend and credibility (sheet: On-Level &amp; Cred). Two adjustments make historical accident years comparable with the present. On-levelling restates earned premium to the latest rate level: a cumulative rate index is built from the validated rate changes, and the on-level factor for an accident year is the latest index divided by that year index. The loss trend restates claims to the latest cost level at 5.5% a year.</t>
  </si>
  <si>
    <t>6.9</t>
  </si>
  <si>
    <t>The experience indication is then the sum of trended ultimates over the mature accident years divided by the sum of on-level premium over the same years. Which years count as mature is controlled by the parameter Cred_mature through the include column, so changing the parameter changes the calculation without any formula being edited.</t>
  </si>
  <si>
    <t>6.10</t>
  </si>
  <si>
    <t>The indication is blended with the business plan loss ratio using limited fluctuation credibility, Z equal to the square root of the ratio of observed claims to the full credibility standard, capped at one. The resulting a priori loss ratio is what the next two bases rely on. Because claim volumes differ markedly between the three groups, Z differs markedly too, and the smallest group leans much more heavily on the business plan than the largest does. This is the intended behaviour.</t>
  </si>
  <si>
    <t>6.11</t>
  </si>
  <si>
    <t>One point a reviewer should be aware of: the experience indication is built from Chain Ladder ultimates, so the Expected Claims and Bornhuetter-Ferguson bases are not wholly independent of the Chain Ladder. The business plan loss ratio supplies the independent element, and it carries real weight because Z is below one for every group. The dependence is nonetheless real and is noted as a limitation in section 8.</t>
  </si>
  <si>
    <t>6.12</t>
  </si>
  <si>
    <t>Stage 5, Expected Claims (sheet: S2 Expected Claims). The ultimate is on-level premium multiplied by the a priori loss ratio and divided by the trend factor, which brings the answer back to the cost level of the accident year concerned. The method ignores claims reported to date entirely. That makes it stable for immature years but means it can contradict actual experience for mature ones, and in this model it does: check C10A reports at least one accident year in Group A where the expected ultimate falls below the amount already paid, implying a negative unpaid balance. This is reported as it stands rather than floored at zero, because flooring it would hide the fact that the premium-based expectation has been overtaken by events.</t>
  </si>
  <si>
    <t>6.13</t>
  </si>
  <si>
    <t>Stage 6, Bornhuetter-Ferguson (sheet: S3 BF). The ultimate is claims paid to date plus the expected ultimate multiplied by the proportion still undeveloped. It therefore accepts what has actually been paid and applies the premium-based expectation only to the part of the claim that has yet to emerge, behaving like the Chain Ladder for mature years and like the Expected Claims method for immature ones.</t>
  </si>
  <si>
    <t>6.14</t>
  </si>
  <si>
    <t>The natural check on this method is that the BF answer should lie between the other two. That test is applied accident year by accident year and passes in every cell. It should not be applied to column totals: which of the two comparators is the larger changes from year to year, so the total of the BF column can legitimately fall outside the totals of the other two columns. A reviewer who tests the totals will get a false failure.</t>
  </si>
  <si>
    <t>6.15</t>
  </si>
  <si>
    <t>Stage 7, extension scenario (sheet: Extension). The Chief Actuary instruction is applied in four steps, labelled E1 to E4 on that sheet. Step E1 multiplies each cumulative development factor by the tail factor for the group. Step E2 works out, for each accident year, how far in the future the remaining payments fall: the incremental proportion of ultimate paid in each future period is weighted by its lag in years, the tail is weighted by 72 months plus the assumed tail lag, and the weighted total is divided by the total proportion still unpaid to give an average lag. The inflation uplift is one plus the shock rate raised to that average lag.</t>
  </si>
  <si>
    <t>6.16</t>
  </si>
  <si>
    <t>Step E3 re-derives the a priori loss ratio. This matters: the tail factor raises the Chain Ladder ultimates that feed the experience indication, so leaving the a priori unchanged would let the tail reach the Chain Ladder basis but not the other two. Re-deriving it means the instruction genuinely flows through all three bases. The credibility factor is unchanged because claim counts are unaffected.</t>
  </si>
  <si>
    <t>6.17</t>
  </si>
  <si>
    <t>Step E4 applies the tail first and the inflation uplift second. The uplift is applied to the amount still unpaid, not to the ultimate, because claims already paid cannot be inflated. Where a method implies a negative unpaid balance the uplift is not applied, since accumulating a negative balance forward would have no meaning; the formula uses an IF test on that condition rather than flooring the balance at zero.</t>
  </si>
  <si>
    <t>X ∈ {CL, EC, BF}</t>
  </si>
  <si>
    <t>6.18</t>
  </si>
  <si>
    <t>Check C13 is a reduction test on this stage. It confirms that the extension Chain Ladder ultimate before the uplift is exactly the base ultimate multiplied by the tail factor. Together with the structure of the step E4 formulas, this establishes that setting every tail factor to 1.0000 and the shock to zero on the Parameters sheet reproduces the base scenarios exactly, which is the strongest available evidence that the extension has been layered on correctly rather than recalculated from scratch.</t>
  </si>
  <si>
    <t>6.19</t>
  </si>
  <si>
    <t>Stage 8, Adverse Development Cover (sheet: ADC). Because the three reserving bases produce different reserves, each would in practice be reinsured on its own terms: a differently sized attachment, exhaustion, limit and premium. Rather than picking one basis and applying a single layer, the sheet builds the full layer structure for all three bases side by side, in a table with the metric down the rows and the basis across the columns.</t>
  </si>
  <si>
    <t>6.20</t>
  </si>
  <si>
    <t>A "recommended basis" cell lets the reserving committee flag which of the three it intends to book, without that choice feeding into any calculation. The figures for the recommended basis are then picked out from the comparison table by INDEX and MATCH: MATCH finds which row of the table corresponds to the metric named alongside, and separately which column matches the basis named in the recommendation cell; INDEX returns the single cell where that row and that column intersect. This is a plain two-way lookup, deliberately built from INDEX and MATCH rather than a single combined lookup function, so that the row-match and the column-match can each be checked independently if something looks wrong.</t>
  </si>
  <si>
    <t>6.21</t>
  </si>
  <si>
    <t>The sensitivity table below deserves a note, because it looks like it should not work. Neither the a priori loss ratio nor the tail factor depends on the inflation shock, and nor does the average payment lag. The reserve at any shock rate can therefore be written directly as the sum, across accident years and rating groups, of the unpaid amount after the tail accumulated at one plus the shock raised to the average lag. That is what the SUMPRODUCT in each basis’s column does, and it is why the table can be produced without recalculating the whole model for each row. The guard against a negative unpaid balance, described at 6.17, is applied in every column here: unlike the single-basis version of this sheet, all three bases are evaluated in parallel, so the guard cannot be left out for any of them, even though it happens never to bind for Bornhuetter-Ferguson.</t>
  </si>
  <si>
    <t>6.21b</t>
  </si>
  <si>
    <t>Two further columns repeat the attachment and exhaustion points of the recommended basis across every row of the sweep, purely so the chart can plot them as flat reference lines against the same shock axis as the three reserve series. They are picked up from the recommended basis summary described at 6.20, so the reference lines on the chart move automatically if the recommended basis is changed.</t>
  </si>
  <si>
    <t>6.22</t>
  </si>
  <si>
    <t>The break-even rates are then read off each basis’s own column by INDEX and MATCH, with linear interpolation between the two bracketing rows, and tested against that basis’s own attachment and exhaustion points from the layer table above. A second, identically structured INDEX/MATCH lookup then picks out the break-even pair for the recommended basis, for the same reason as 6.20.</t>
  </si>
  <si>
    <t>6.23</t>
  </si>
  <si>
    <t>Where a basis’s attachment break-even reads zero, the tail factor on its own is already enough to push that basis’s reserve past its attachment point, before any inflation shock at all; this is tested for explicitly in the interpolation formula rather than left to return an error.</t>
  </si>
  <si>
    <t>7. Checks performed</t>
  </si>
  <si>
    <t>7.1</t>
  </si>
  <si>
    <t>Every calculation stage has at least one check, and all 35 of them are gathered on the Checks sheet with a single overall status in cell C4. The checks fall into four groups.</t>
  </si>
  <si>
    <t>7.2</t>
  </si>
  <si>
    <t>Data checks (C1 to C5) confirm that the number of defects found matches the number documented, that no defect arises where the correction rule cannot be applied, that every validated cell holds a number, that the validated triangles never fall across development, and that every validated rate change is within bounds.</t>
  </si>
  <si>
    <t>7.3</t>
  </si>
  <si>
    <t>Stage checks (C6 to C12) confirm that development factors behave sensibly, that the latest on-level factor is exactly one, that credibility factors are between zero and one with the blend falling between its two inputs, that no ultimate is below claims already paid, that the Bornhuetter-Ferguson result sits between its two comparators in every accident year, and that the extension never reduces an ultimate.</t>
  </si>
  <si>
    <t>7.4</t>
  </si>
  <si>
    <t>Structural checks (C13 to C15) are the ones a reviewer should look at first. C13 is the reduction test described in 6.18. C14 confirms that claims paid to date agree across all four scenario sheets, which catches any misaligned diagonal. C15 confirms that reserve equals ultimate less paid on every basis, which catches any broken total.</t>
  </si>
  <si>
    <t>7.5</t>
  </si>
  <si>
    <t>Reasonableness checks (C16 to C18) confirm that the reserve is positive and of a sensible size relative to premium, that no reinsurance recovery exceeds the limit, and that the interpolated break-even rates lie inside the tabulated range and are correctly ordered.</t>
  </si>
  <si>
    <t>7.6</t>
  </si>
  <si>
    <t>One check is designed to report rather than pass. C10 reads SEE NOTE where the Expected Claims method implies a negative unpaid balance. That outcome is a property of the method, discussed at 6.12, and the overall status treats it as acceptable. If it were suppressed the reader would lose a genuine finding about the account.</t>
  </si>
  <si>
    <t>8. Limitations and areas of judgement</t>
  </si>
  <si>
    <t>8.1</t>
  </si>
  <si>
    <t>The experience indication depends on Chain Ladder ultimates, so the three bases are not fully independent of one another. See 6.11.</t>
  </si>
  <si>
    <t>8.2</t>
  </si>
  <si>
    <t>The tail factors are benchmarked rather than fitted, because six development periods are not enough to fit a tail curve. They are among the most influential judgements in the model: on their own they move the reserve by more than a tenth and are sufficient to attach the reinsurance.</t>
  </si>
  <si>
    <t>8.3</t>
  </si>
  <si>
    <t>Rate changes are assumed effective on 1 January. A parallelogram treatment would be more exact where policies are written through the year.</t>
  </si>
  <si>
    <t>8.4</t>
  </si>
  <si>
    <t>Only paid data is modelled. Incurred data, if available, would give a second view and would materially sharpen the tail estimate.</t>
  </si>
  <si>
    <t>8.5</t>
  </si>
  <si>
    <t>The model is deterministic. It produces a range across three bases but no distribution and no confidence interval around any of them.</t>
  </si>
  <si>
    <t>8.6</t>
  </si>
  <si>
    <t>The correction rule for a defective cell preserves the development shape of the group but cannot recover the true figure. Where a defect cascades, as it does in Group C, two cells are estimated rather than one.</t>
  </si>
  <si>
    <t>9. Version control</t>
  </si>
  <si>
    <t>Version 1.0, prepared for the reserving committee meeting of 31 March 2026. Prepared by the reserving analyst; to be reviewed by the Chief Actuary. Any subsequent change should be recorded here with its date, its author and the checks re-run.</t>
  </si>
  <si>
    <r>
      <rPr>
        <i/>
        <sz val="10"/>
        <color rgb="FF000000"/>
        <rFont val="Arial"/>
      </rPr>
      <t>i</t>
    </r>
    <r>
      <rPr>
        <sz val="10"/>
        <color rgb="FF000000"/>
        <rFont val="Arial"/>
      </rPr>
      <t xml:space="preserve"> — </t>
    </r>
    <r>
      <rPr>
        <sz val="10"/>
        <color rgb="FF000000"/>
        <rFont val="Arial"/>
      </rPr>
      <t xml:space="preserve">accident year index, i = 1, …, 6 for 2020, …, 2025.  </t>
    </r>
    <r>
      <rPr>
        <i/>
        <sz val="9"/>
        <color rgb="FF595959"/>
        <rFont val="Arial"/>
      </rPr>
      <t>Source: Model convention.</t>
    </r>
  </si>
  <si>
    <r>
      <rPr>
        <i/>
        <sz val="10"/>
        <color rgb="FF000000"/>
        <rFont val="Arial"/>
      </rPr>
      <t>j</t>
    </r>
    <r>
      <rPr>
        <sz val="10"/>
        <color rgb="FF000000"/>
        <rFont val="Arial"/>
      </rPr>
      <t xml:space="preserve"> — </t>
    </r>
    <r>
      <rPr>
        <sz val="10"/>
        <color rgb="FF000000"/>
        <rFont val="Arial"/>
      </rPr>
      <t xml:space="preserve">development age step, j = 1, …, 6 for ages 12, …, 72 months.  </t>
    </r>
    <r>
      <rPr>
        <i/>
        <sz val="9"/>
        <color rgb="FF595959"/>
        <rFont val="Arial"/>
      </rPr>
      <t>Source: Model convention.</t>
    </r>
  </si>
  <si>
    <r>
      <rPr>
        <i/>
        <sz val="10"/>
        <color rgb="FF000000"/>
        <rFont val="Arial"/>
      </rPr>
      <t>d</t>
    </r>
    <r>
      <rPr>
        <sz val="10"/>
        <color rgb="FF000000"/>
        <rFont val="Arial"/>
      </rPr>
      <t>(</t>
    </r>
    <r>
      <rPr>
        <i/>
        <sz val="10"/>
        <color rgb="FF000000"/>
        <rFont val="Arial"/>
      </rPr>
      <t>i</t>
    </r>
    <r>
      <rPr>
        <sz val="10"/>
        <color rgb="FF000000"/>
        <rFont val="Arial"/>
      </rPr>
      <t>)</t>
    </r>
    <r>
      <rPr>
        <sz val="10"/>
        <color rgb="FF000000"/>
        <rFont val="Arial"/>
      </rPr>
      <t xml:space="preserve"> — </t>
    </r>
    <r>
      <rPr>
        <sz val="10"/>
        <color rgb="FF000000"/>
        <rFont val="Arial"/>
      </rPr>
      <t xml:space="preserve">development age index of accident year i at the reserving date, d(i) = 7 − i.  </t>
    </r>
    <r>
      <rPr>
        <i/>
        <sz val="9"/>
        <color rgb="FF595959"/>
        <rFont val="Arial"/>
      </rPr>
      <t>Source: Model convention.</t>
    </r>
  </si>
  <si>
    <r>
      <rPr>
        <i/>
        <sz val="10"/>
        <color rgb="FF000000"/>
        <rFont val="Arial"/>
      </rPr>
      <t>g</t>
    </r>
    <r>
      <rPr>
        <sz val="10"/>
        <color rgb="FF000000"/>
        <rFont val="Arial"/>
      </rPr>
      <t xml:space="preserve"> — </t>
    </r>
    <r>
      <rPr>
        <sz val="10"/>
        <color rgb="FF000000"/>
        <rFont val="Arial"/>
      </rPr>
      <t xml:space="preserve">rating group, g ∈ {A, B, C}.  </t>
    </r>
    <r>
      <rPr>
        <i/>
        <sz val="9"/>
        <color rgb="FF595959"/>
        <rFont val="Arial"/>
      </rPr>
      <t>Source: Model convention.</t>
    </r>
  </si>
  <si>
    <r>
      <rPr>
        <i/>
        <sz val="10"/>
        <color rgb="FF000000"/>
        <rFont val="Arial"/>
      </rPr>
      <t>LR</t>
    </r>
    <r>
      <rPr>
        <i/>
        <vertAlign val="subscript"/>
        <sz val="8"/>
        <color rgb="FF000000"/>
        <rFont val="Arial"/>
      </rPr>
      <t>clean,j</t>
    </r>
    <r>
      <rPr>
        <sz val="10"/>
        <color rgb="FF000000"/>
        <rFont val="Arial"/>
      </rPr>
      <t xml:space="preserve"> — </t>
    </r>
    <r>
      <rPr>
        <sz val="10"/>
        <color rgb="FF000000"/>
        <rFont val="Arial"/>
      </rPr>
      <t xml:space="preserve">clean (volume-weighted) link ratio for development step j, from unflagged cells only.  </t>
    </r>
    <r>
      <rPr>
        <i/>
        <sz val="9"/>
        <color rgb="FF595959"/>
        <rFont val="Arial"/>
      </rPr>
      <t>Source: Data Validation, 'Clean link ratio' row.</t>
    </r>
  </si>
  <si>
    <r>
      <rPr>
        <i/>
        <sz val="10"/>
        <color rgb="FF000000"/>
        <rFont val="Arial"/>
      </rPr>
      <t>Paid</t>
    </r>
    <r>
      <rPr>
        <i/>
        <vertAlign val="subscript"/>
        <sz val="8"/>
        <color rgb="FF000000"/>
        <rFont val="Arial"/>
      </rPr>
      <t>i</t>
    </r>
    <r>
      <rPr>
        <sz val="10"/>
        <color rgb="FF000000"/>
        <rFont val="Arial"/>
      </rPr>
      <t xml:space="preserve"> — </t>
    </r>
    <r>
      <rPr>
        <sz val="10"/>
        <color rgb="FF000000"/>
        <rFont val="Arial"/>
      </rPr>
      <t xml:space="preserve">validated cumulative paid claims for accident year i at its current age d(i).  </t>
    </r>
    <r>
      <rPr>
        <i/>
        <sz val="9"/>
        <color rgb="FF595959"/>
        <rFont val="Arial"/>
      </rPr>
      <t>Source: S1 Chain Ladder, 'Paid to date' column.</t>
    </r>
  </si>
  <si>
    <r>
      <rPr>
        <i/>
        <sz val="10"/>
        <color rgb="FF000000"/>
        <rFont val="Arial"/>
      </rPr>
      <t>LDF</t>
    </r>
    <r>
      <rPr>
        <i/>
        <vertAlign val="subscript"/>
        <sz val="8"/>
        <color rgb="FF000000"/>
        <rFont val="Arial"/>
      </rPr>
      <t>j</t>
    </r>
    <r>
      <rPr>
        <sz val="10"/>
        <color rgb="FF000000"/>
        <rFont val="Arial"/>
      </rPr>
      <t xml:space="preserve"> — </t>
    </r>
    <r>
      <rPr>
        <sz val="10"/>
        <color rgb="FF000000"/>
        <rFont val="Arial"/>
      </rPr>
      <t xml:space="preserve">selected age-to-age (link) development factor, age j to age j+1.  </t>
    </r>
    <r>
      <rPr>
        <i/>
        <sz val="9"/>
        <color rgb="FF595959"/>
        <rFont val="Arial"/>
      </rPr>
      <t>Source: Dev Factors, 'Selected LDF' row.</t>
    </r>
  </si>
  <si>
    <r>
      <rPr>
        <i/>
        <sz val="10"/>
        <color rgb="FF000000"/>
        <rFont val="Arial"/>
      </rPr>
      <t>CDF</t>
    </r>
    <r>
      <rPr>
        <i/>
        <vertAlign val="subscript"/>
        <sz val="8"/>
        <color rgb="FF000000"/>
        <rFont val="Arial"/>
      </rPr>
      <t>j</t>
    </r>
    <r>
      <rPr>
        <sz val="10"/>
        <color rgb="FF000000"/>
        <rFont val="Arial"/>
      </rPr>
      <t xml:space="preserve"> — </t>
    </r>
    <r>
      <rPr>
        <sz val="10"/>
        <color rgb="FF000000"/>
        <rFont val="Arial"/>
      </rPr>
      <t xml:space="preserve">cumulative development factor from age j to ultimate (base scenarios: CDF₆ = 1).  </t>
    </r>
    <r>
      <rPr>
        <i/>
        <sz val="9"/>
        <color rgb="FF595959"/>
        <rFont val="Arial"/>
      </rPr>
      <t>Source: Dev Factors, 'CDF' row.</t>
    </r>
  </si>
  <si>
    <r>
      <rPr>
        <i/>
        <sz val="10"/>
        <color rgb="FF000000"/>
        <rFont val="Arial"/>
      </rPr>
      <t>CL</t>
    </r>
    <r>
      <rPr>
        <i/>
        <vertAlign val="subscript"/>
        <sz val="8"/>
        <color rgb="FF000000"/>
        <rFont val="Arial"/>
      </rPr>
      <t>i</t>
    </r>
    <r>
      <rPr>
        <sz val="10"/>
        <color rgb="FF000000"/>
        <rFont val="Arial"/>
      </rPr>
      <t xml:space="preserve"> — </t>
    </r>
    <r>
      <rPr>
        <sz val="10"/>
        <color rgb="FF000000"/>
        <rFont val="Arial"/>
      </rPr>
      <t xml:space="preserve">Chain Ladder ultimate claims for accident year i.  </t>
    </r>
    <r>
      <rPr>
        <i/>
        <sz val="9"/>
        <color rgb="FF595959"/>
        <rFont val="Arial"/>
      </rPr>
      <t>Source: S1 Chain Ladder, 'Ultimate claims' column.</t>
    </r>
  </si>
  <si>
    <r>
      <rPr>
        <i/>
        <sz val="10"/>
        <color rgb="FF000000"/>
        <rFont val="Arial"/>
      </rPr>
      <t>Reserve</t>
    </r>
    <r>
      <rPr>
        <i/>
        <vertAlign val="subscript"/>
        <sz val="8"/>
        <color rgb="FF000000"/>
        <rFont val="Arial"/>
      </rPr>
      <t>i</t>
    </r>
    <r>
      <rPr>
        <sz val="10"/>
        <color rgb="FF000000"/>
        <rFont val="Arial"/>
      </rPr>
      <t xml:space="preserve"> — </t>
    </r>
    <r>
      <rPr>
        <sz val="10"/>
        <color rgb="FF000000"/>
        <rFont val="Arial"/>
      </rPr>
      <t xml:space="preserve">unpaid claim liability = ultimate claims − claims paid to date.  </t>
    </r>
    <r>
      <rPr>
        <i/>
        <sz val="9"/>
        <color rgb="FF595959"/>
        <rFont val="Arial"/>
      </rPr>
      <t>Source: each scenario sheet, 'Reserve' column.</t>
    </r>
  </si>
  <si>
    <r>
      <rPr>
        <i/>
        <sz val="10"/>
        <color rgb="FF000000"/>
        <rFont val="Arial"/>
      </rPr>
      <t>RateIdx</t>
    </r>
    <r>
      <rPr>
        <i/>
        <vertAlign val="subscript"/>
        <sz val="8"/>
        <color rgb="FF000000"/>
        <rFont val="Arial"/>
      </rPr>
      <t>i</t>
    </r>
    <r>
      <rPr>
        <sz val="10"/>
        <color rgb="FF000000"/>
        <rFont val="Arial"/>
      </rPr>
      <t xml:space="preserve"> — </t>
    </r>
    <r>
      <rPr>
        <sz val="10"/>
        <color rgb="FF000000"/>
        <rFont val="Arial"/>
      </rPr>
      <t xml:space="preserve">cumulative rate index for accident year i.  </t>
    </r>
    <r>
      <rPr>
        <i/>
        <sz val="9"/>
        <color rgb="FF595959"/>
        <rFont val="Arial"/>
      </rPr>
      <t>Source: On-Level &amp; Cred, 'Cumulative rate index'.</t>
    </r>
  </si>
  <si>
    <r>
      <rPr>
        <i/>
        <sz val="10"/>
        <color rgb="FF000000"/>
        <rFont val="Arial"/>
      </rPr>
      <t>OLF</t>
    </r>
    <r>
      <rPr>
        <i/>
        <vertAlign val="subscript"/>
        <sz val="8"/>
        <color rgb="FF000000"/>
        <rFont val="Arial"/>
      </rPr>
      <t>i</t>
    </r>
    <r>
      <rPr>
        <sz val="10"/>
        <color rgb="FF000000"/>
        <rFont val="Arial"/>
      </rPr>
      <t xml:space="preserve"> — </t>
    </r>
    <r>
      <rPr>
        <sz val="10"/>
        <color rgb="FF000000"/>
        <rFont val="Arial"/>
      </rPr>
      <t xml:space="preserve">on-level factor = RateIdx₆ / RateIdxᵢ.  </t>
    </r>
    <r>
      <rPr>
        <i/>
        <sz val="9"/>
        <color rgb="FF595959"/>
        <rFont val="Arial"/>
      </rPr>
      <t>Source: On-Level &amp; Cred, 'On-level factor'.</t>
    </r>
  </si>
  <si>
    <r>
      <rPr>
        <i/>
        <sz val="10"/>
        <color rgb="FF000000"/>
        <rFont val="Arial"/>
      </rPr>
      <t>EP</t>
    </r>
    <r>
      <rPr>
        <i/>
        <vertAlign val="subscript"/>
        <sz val="8"/>
        <color rgb="FF000000"/>
        <rFont val="Arial"/>
      </rPr>
      <t>i</t>
    </r>
    <r>
      <rPr>
        <sz val="10"/>
        <color rgb="FF000000"/>
        <rFont val="Arial"/>
      </rPr>
      <t xml:space="preserve"> — </t>
    </r>
    <r>
      <rPr>
        <sz val="10"/>
        <color rgb="FF000000"/>
        <rFont val="Arial"/>
      </rPr>
      <t xml:space="preserve">earned premium for accident year i.  </t>
    </r>
    <r>
      <rPr>
        <i/>
        <sz val="9"/>
        <color rgb="FF595959"/>
        <rFont val="Arial"/>
      </rPr>
      <t>Source: Raw Data, Table 4.</t>
    </r>
  </si>
  <si>
    <r>
      <rPr>
        <i/>
        <sz val="10"/>
        <color rgb="FF000000"/>
        <rFont val="Arial"/>
      </rPr>
      <t>OLP</t>
    </r>
    <r>
      <rPr>
        <i/>
        <vertAlign val="subscript"/>
        <sz val="8"/>
        <color rgb="FF000000"/>
        <rFont val="Arial"/>
      </rPr>
      <t>i</t>
    </r>
    <r>
      <rPr>
        <sz val="10"/>
        <color rgb="FF000000"/>
        <rFont val="Arial"/>
      </rPr>
      <t xml:space="preserve"> — </t>
    </r>
    <r>
      <rPr>
        <sz val="10"/>
        <color rgb="FF000000"/>
        <rFont val="Arial"/>
      </rPr>
      <t xml:space="preserve">on-level earned premium = EPᵢ × OLFᵢ.  </t>
    </r>
    <r>
      <rPr>
        <i/>
        <sz val="9"/>
        <color rgb="FF595959"/>
        <rFont val="Arial"/>
      </rPr>
      <t>Source: On-Level &amp; Cred, 'On-level premium'.</t>
    </r>
  </si>
  <si>
    <r>
      <rPr>
        <sz val="10"/>
        <color rgb="FF0000FF"/>
        <rFont val="Arial"/>
      </rPr>
      <t>Loss_trend</t>
    </r>
    <r>
      <rPr>
        <sz val="10"/>
        <color rgb="FF000000"/>
        <rFont val="Arial"/>
      </rPr>
      <t xml:space="preserve"> — </t>
    </r>
    <r>
      <rPr>
        <sz val="10"/>
        <color rgb="FF000000"/>
        <rFont val="Arial"/>
      </rPr>
      <t xml:space="preserve">claims severity trend per annum.  </t>
    </r>
    <r>
      <rPr>
        <i/>
        <sz val="9"/>
        <color rgb="FF595959"/>
        <rFont val="Arial"/>
      </rPr>
      <t>Source: Parameters, Table 6; named range Loss_trend.</t>
    </r>
  </si>
  <si>
    <r>
      <rPr>
        <i/>
        <sz val="10"/>
        <color rgb="FF000000"/>
        <rFont val="Arial"/>
      </rPr>
      <t>TF</t>
    </r>
    <r>
      <rPr>
        <i/>
        <vertAlign val="subscript"/>
        <sz val="8"/>
        <color rgb="FF000000"/>
        <rFont val="Arial"/>
      </rPr>
      <t>i</t>
    </r>
    <r>
      <rPr>
        <sz val="10"/>
        <color rgb="FF000000"/>
        <rFont val="Arial"/>
      </rPr>
      <t xml:space="preserve"> — </t>
    </r>
    <r>
      <rPr>
        <sz val="10"/>
        <color rgb="FF000000"/>
        <rFont val="Arial"/>
      </rPr>
      <t xml:space="preserve">trend factor = (1 + Loss_trend)^(2025 − year of i).  </t>
    </r>
    <r>
      <rPr>
        <i/>
        <sz val="9"/>
        <color rgb="FF595959"/>
        <rFont val="Arial"/>
      </rPr>
      <t>Source: On-Level &amp; Cred, 'Trend factor'.</t>
    </r>
  </si>
  <si>
    <r>
      <rPr>
        <i/>
        <sz val="10"/>
        <color rgb="FF000000"/>
        <rFont val="Arial"/>
      </rPr>
      <t>n</t>
    </r>
    <r>
      <rPr>
        <sz val="10"/>
        <color rgb="FF000000"/>
        <rFont val="Arial"/>
      </rPr>
      <t xml:space="preserve"> — </t>
    </r>
    <r>
      <rPr>
        <sz val="10"/>
        <color rgb="FF000000"/>
        <rFont val="Arial"/>
      </rPr>
      <t xml:space="preserve">reported claim count summed over the mature accident years.  </t>
    </r>
    <r>
      <rPr>
        <i/>
        <sz val="9"/>
        <color rgb="FF595959"/>
        <rFont val="Arial"/>
      </rPr>
      <t>Source: On-Level &amp; Cred derivation block.</t>
    </r>
  </si>
  <si>
    <r>
      <rPr>
        <sz val="10"/>
        <color rgb="FF0000FF"/>
        <rFont val="Arial"/>
      </rPr>
      <t>Cred_full</t>
    </r>
    <r>
      <rPr>
        <sz val="10"/>
        <color rgb="FF000000"/>
        <rFont val="Arial"/>
      </rPr>
      <t xml:space="preserve"> — </t>
    </r>
    <r>
      <rPr>
        <sz val="10"/>
        <color rgb="FF000000"/>
        <rFont val="Arial"/>
      </rPr>
      <t xml:space="preserve">full credibility standard, in claims.  </t>
    </r>
    <r>
      <rPr>
        <i/>
        <sz val="9"/>
        <color rgb="FF595959"/>
        <rFont val="Arial"/>
      </rPr>
      <t>Source: Parameters, Table 7; named range Cred_full.</t>
    </r>
  </si>
  <si>
    <r>
      <rPr>
        <sz val="10"/>
        <color rgb="FF0000FF"/>
        <rFont val="Arial"/>
      </rPr>
      <t>Cred_mature</t>
    </r>
    <r>
      <rPr>
        <sz val="10"/>
        <color rgb="FF000000"/>
        <rFont val="Arial"/>
      </rPr>
      <t xml:space="preserve"> — </t>
    </r>
    <r>
      <rPr>
        <sz val="10"/>
        <color rgb="FF000000"/>
        <rFont val="Arial"/>
      </rPr>
      <t xml:space="preserve">number of accident years used in the experience indication.  </t>
    </r>
    <r>
      <rPr>
        <i/>
        <sz val="9"/>
        <color rgb="FF595959"/>
        <rFont val="Arial"/>
      </rPr>
      <t>Source: Parameters, Table 7; named range Cred_mature.</t>
    </r>
  </si>
  <si>
    <r>
      <rPr>
        <i/>
        <sz val="10"/>
        <color rgb="FF000000"/>
        <rFont val="Arial"/>
      </rPr>
      <t>Z</t>
    </r>
    <r>
      <rPr>
        <sz val="10"/>
        <color rgb="FF000000"/>
        <rFont val="Arial"/>
      </rPr>
      <t xml:space="preserve"> — </t>
    </r>
    <r>
      <rPr>
        <sz val="10"/>
        <color rgb="FF000000"/>
        <rFont val="Arial"/>
      </rPr>
      <t xml:space="preserve">credibility factor.  </t>
    </r>
    <r>
      <rPr>
        <i/>
        <sz val="9"/>
        <color rgb="FF595959"/>
        <rFont val="Arial"/>
      </rPr>
      <t>Source: On-Level &amp; Cred derivation block.</t>
    </r>
  </si>
  <si>
    <r>
      <rPr>
        <i/>
        <sz val="10"/>
        <color rgb="FF000000"/>
        <rFont val="Arial"/>
      </rPr>
      <t>EI</t>
    </r>
    <r>
      <rPr>
        <sz val="10"/>
        <color rgb="FF000000"/>
        <rFont val="Arial"/>
      </rPr>
      <t xml:space="preserve"> — </t>
    </r>
    <r>
      <rPr>
        <sz val="10"/>
        <color rgb="FF000000"/>
        <rFont val="Arial"/>
      </rPr>
      <t xml:space="preserve">experience indication: on-level, trended ultimate loss ratio.  </t>
    </r>
    <r>
      <rPr>
        <i/>
        <sz val="9"/>
        <color rgb="FF595959"/>
        <rFont val="Arial"/>
      </rPr>
      <t>Source: On-Level &amp; Cred derivation block.</t>
    </r>
  </si>
  <si>
    <r>
      <rPr>
        <sz val="10"/>
        <color rgb="FF0000FF"/>
        <rFont val="Arial"/>
      </rPr>
      <t>Plan_LR</t>
    </r>
    <r>
      <rPr>
        <sz val="10"/>
        <color rgb="FF000000"/>
        <rFont val="Arial"/>
      </rPr>
      <t xml:space="preserve"> — </t>
    </r>
    <r>
      <rPr>
        <sz val="10"/>
        <color rgb="FF000000"/>
        <rFont val="Arial"/>
      </rPr>
      <t xml:space="preserve">business plan ultimate loss ratio.  </t>
    </r>
    <r>
      <rPr>
        <i/>
        <sz val="9"/>
        <color rgb="FF595959"/>
        <rFont val="Arial"/>
      </rPr>
      <t>Source: Parameters, Table 7; named range Plan_LR.</t>
    </r>
  </si>
  <si>
    <r>
      <rPr>
        <i/>
        <sz val="10"/>
        <color rgb="FF000000"/>
        <rFont val="Arial"/>
      </rPr>
      <t>ELR</t>
    </r>
    <r>
      <rPr>
        <sz val="10"/>
        <color rgb="FF000000"/>
        <rFont val="Arial"/>
      </rPr>
      <t xml:space="preserve"> — </t>
    </r>
    <r>
      <rPr>
        <sz val="10"/>
        <color rgb="FF000000"/>
        <rFont val="Arial"/>
      </rPr>
      <t xml:space="preserve">a priori (credibility-weighted) loss ratio.  </t>
    </r>
    <r>
      <rPr>
        <i/>
        <sz val="9"/>
        <color rgb="FF595959"/>
        <rFont val="Arial"/>
      </rPr>
      <t>Source: On-Level &amp; Cred derivation block.</t>
    </r>
  </si>
  <si>
    <r>
      <rPr>
        <i/>
        <sz val="10"/>
        <color rgb="FF000000"/>
        <rFont val="Arial"/>
      </rPr>
      <t>EC</t>
    </r>
    <r>
      <rPr>
        <i/>
        <vertAlign val="subscript"/>
        <sz val="8"/>
        <color rgb="FF000000"/>
        <rFont val="Arial"/>
      </rPr>
      <t>i</t>
    </r>
    <r>
      <rPr>
        <sz val="10"/>
        <color rgb="FF000000"/>
        <rFont val="Arial"/>
      </rPr>
      <t xml:space="preserve"> — </t>
    </r>
    <r>
      <rPr>
        <sz val="10"/>
        <color rgb="FF000000"/>
        <rFont val="Arial"/>
      </rPr>
      <t xml:space="preserve">Expected Claims ultimate for accident year i.  </t>
    </r>
    <r>
      <rPr>
        <i/>
        <sz val="9"/>
        <color rgb="FF595959"/>
        <rFont val="Arial"/>
      </rPr>
      <t>Source: S2 Expected Claims, 'Ultimate claims'.</t>
    </r>
  </si>
  <si>
    <r>
      <rPr>
        <i/>
        <sz val="10"/>
        <color rgb="FF000000"/>
        <rFont val="Arial"/>
      </rPr>
      <t>BF</t>
    </r>
    <r>
      <rPr>
        <i/>
        <vertAlign val="subscript"/>
        <sz val="8"/>
        <color rgb="FF000000"/>
        <rFont val="Arial"/>
      </rPr>
      <t>i</t>
    </r>
    <r>
      <rPr>
        <sz val="10"/>
        <color rgb="FF000000"/>
        <rFont val="Arial"/>
      </rPr>
      <t xml:space="preserve"> — </t>
    </r>
    <r>
      <rPr>
        <sz val="10"/>
        <color rgb="FF000000"/>
        <rFont val="Arial"/>
      </rPr>
      <t xml:space="preserve">Bornhuetter-Ferguson ultimate for accident year i.  </t>
    </r>
    <r>
      <rPr>
        <i/>
        <sz val="9"/>
        <color rgb="FF595959"/>
        <rFont val="Arial"/>
      </rPr>
      <t>Source: S3 BF, 'Ultimate claims'.</t>
    </r>
  </si>
  <si>
    <r>
      <rPr>
        <sz val="10"/>
        <color rgb="FF0000FF"/>
        <rFont val="Arial"/>
      </rPr>
      <t>Ext_tail</t>
    </r>
    <r>
      <rPr>
        <sz val="10"/>
        <color rgb="FF000000"/>
        <rFont val="Arial"/>
      </rPr>
      <t xml:space="preserve"> — </t>
    </r>
    <r>
      <rPr>
        <sz val="10"/>
        <color rgb="FF000000"/>
        <rFont val="Arial"/>
      </rPr>
      <t xml:space="preserve">tail factor beyond 72 months development, by rating group.  </t>
    </r>
    <r>
      <rPr>
        <i/>
        <sz val="9"/>
        <color rgb="FF595959"/>
        <rFont val="Arial"/>
      </rPr>
      <t>Source: Parameters, Table 8; named range Ext_tail.</t>
    </r>
  </si>
  <si>
    <r>
      <rPr>
        <sz val="10"/>
        <color rgb="FF0000FF"/>
        <rFont val="Arial"/>
      </rPr>
      <t>Ext_taillag</t>
    </r>
    <r>
      <rPr>
        <sz val="10"/>
        <color rgb="FF000000"/>
        <rFont val="Arial"/>
      </rPr>
      <t xml:space="preserve"> — </t>
    </r>
    <r>
      <rPr>
        <sz val="10"/>
        <color rgb="FF000000"/>
        <rFont val="Arial"/>
      </rPr>
      <t xml:space="preserve">average lag of tail payments beyond 72 months, in years.  </t>
    </r>
    <r>
      <rPr>
        <i/>
        <sz val="9"/>
        <color rgb="FF595959"/>
        <rFont val="Arial"/>
      </rPr>
      <t>Source: Parameters, Table 8; named range Ext_taillag.</t>
    </r>
  </si>
  <si>
    <r>
      <rPr>
        <sz val="10"/>
        <color rgb="FF0000FF"/>
        <rFont val="Arial"/>
      </rPr>
      <t>Ext_shock</t>
    </r>
    <r>
      <rPr>
        <sz val="10"/>
        <color rgb="FF000000"/>
        <rFont val="Arial"/>
      </rPr>
      <t xml:space="preserve"> — </t>
    </r>
    <r>
      <rPr>
        <sz val="10"/>
        <color rgb="FF000000"/>
        <rFont val="Arial"/>
      </rPr>
      <t xml:space="preserve">additional claims inflation rate (the Chief Actuary shock).  </t>
    </r>
    <r>
      <rPr>
        <i/>
        <sz val="9"/>
        <color rgb="FF595959"/>
        <rFont val="Arial"/>
      </rPr>
      <t>Source: Parameters, Table 8; named range Ext_shock.</t>
    </r>
  </si>
  <si>
    <r>
      <rPr>
        <i/>
        <sz val="10"/>
        <color rgb="FF000000"/>
        <rFont val="Arial"/>
      </rPr>
      <t>CDF</t>
    </r>
    <r>
      <rPr>
        <sz val="10"/>
        <color rgb="FF000000"/>
        <rFont val="Arial"/>
      </rPr>
      <t>'</t>
    </r>
    <r>
      <rPr>
        <i/>
        <vertAlign val="subscript"/>
        <sz val="8"/>
        <color rgb="FF000000"/>
        <rFont val="Arial"/>
      </rPr>
      <t>j</t>
    </r>
    <r>
      <rPr>
        <sz val="10"/>
        <color rgb="FF000000"/>
        <rFont val="Arial"/>
      </rPr>
      <t xml:space="preserve"> — </t>
    </r>
    <r>
      <rPr>
        <sz val="10"/>
        <color rgb="FF000000"/>
        <rFont val="Arial"/>
      </rPr>
      <t xml:space="preserve">revised cumulative development factor including the tail = CDFⱼ × Ext_tail.  </t>
    </r>
    <r>
      <rPr>
        <i/>
        <sz val="9"/>
        <color rgb="FF595959"/>
        <rFont val="Arial"/>
      </rPr>
      <t>Source: Extension, step E1.</t>
    </r>
  </si>
  <si>
    <r>
      <rPr>
        <i/>
        <sz val="10"/>
        <color rgb="FF000000"/>
        <rFont val="Arial"/>
      </rPr>
      <t>lag</t>
    </r>
    <r>
      <rPr>
        <i/>
        <vertAlign val="subscript"/>
        <sz val="8"/>
        <color rgb="FF000000"/>
        <rFont val="Arial"/>
      </rPr>
      <t>i</t>
    </r>
    <r>
      <rPr>
        <sz val="10"/>
        <color rgb="FF000000"/>
        <rFont val="Arial"/>
      </rPr>
      <t xml:space="preserve"> — </t>
    </r>
    <r>
      <rPr>
        <sz val="10"/>
        <color rgb="FF000000"/>
        <rFont val="Arial"/>
      </rPr>
      <t xml:space="preserve">weighted average lag, in years, of the payments still outstanding for accident year i.  </t>
    </r>
    <r>
      <rPr>
        <i/>
        <sz val="9"/>
        <color rgb="FF595959"/>
        <rFont val="Arial"/>
      </rPr>
      <t>Source: Extension, step E2.</t>
    </r>
  </si>
  <si>
    <r>
      <rPr>
        <i/>
        <sz val="10"/>
        <color rgb="FF000000"/>
        <rFont val="Arial"/>
      </rPr>
      <t>Uplift</t>
    </r>
    <r>
      <rPr>
        <i/>
        <vertAlign val="subscript"/>
        <sz val="8"/>
        <color rgb="FF000000"/>
        <rFont val="Arial"/>
      </rPr>
      <t>i</t>
    </r>
    <r>
      <rPr>
        <sz val="10"/>
        <color rgb="FF000000"/>
        <rFont val="Arial"/>
      </rPr>
      <t xml:space="preserve"> — </t>
    </r>
    <r>
      <rPr>
        <sz val="10"/>
        <color rgb="FF000000"/>
        <rFont val="Arial"/>
      </rPr>
      <t xml:space="preserve">inflation uplift factor = (1 + Ext_shock)^lagᵢ.  </t>
    </r>
    <r>
      <rPr>
        <i/>
        <sz val="9"/>
        <color rgb="FF595959"/>
        <rFont val="Arial"/>
      </rPr>
      <t>Source: Extension, step E2.</t>
    </r>
  </si>
  <si>
    <r>
      <rPr>
        <i/>
        <sz val="10"/>
        <color rgb="FF000000"/>
        <rFont val="Arial"/>
      </rPr>
      <t>X</t>
    </r>
    <r>
      <rPr>
        <i/>
        <vertAlign val="subscript"/>
        <sz val="8"/>
        <color rgb="FF000000"/>
        <rFont val="Arial"/>
      </rPr>
      <t>i</t>
    </r>
    <r>
      <rPr>
        <sz val="10"/>
        <color rgb="FF000000"/>
        <rFont val="Arial"/>
      </rPr>
      <t xml:space="preserve"> — </t>
    </r>
    <r>
      <rPr>
        <sz val="10"/>
        <color rgb="FF000000"/>
        <rFont val="Arial"/>
      </rPr>
      <t xml:space="preserve">ultimate claims on a given base scenario (X ∈ {CL, EC, BF}).  </t>
    </r>
    <r>
      <rPr>
        <i/>
        <sz val="9"/>
        <color rgb="FF595959"/>
        <rFont val="Arial"/>
      </rPr>
      <t>Source: S1/S2/S3, "Ultimate claims" columns.</t>
    </r>
  </si>
  <si>
    <r>
      <rPr>
        <i/>
        <sz val="10"/>
        <color rgb="FF000000"/>
        <rFont val="Arial"/>
      </rPr>
      <t>X</t>
    </r>
    <r>
      <rPr>
        <sz val="10"/>
        <color rgb="FF000000"/>
        <rFont val="Arial"/>
      </rPr>
      <t>'</t>
    </r>
    <r>
      <rPr>
        <i/>
        <vertAlign val="subscript"/>
        <sz val="8"/>
        <color rgb="FF000000"/>
        <rFont val="Arial"/>
      </rPr>
      <t>i</t>
    </r>
    <r>
      <rPr>
        <sz val="10"/>
        <color rgb="FF000000"/>
        <rFont val="Arial"/>
      </rPr>
      <t xml:space="preserve"> — </t>
    </r>
    <r>
      <rPr>
        <sz val="10"/>
        <color rgb="FF000000"/>
        <rFont val="Arial"/>
      </rPr>
      <t xml:space="preserve">ultimate claims on the corresponding extension scenario.  </t>
    </r>
    <r>
      <rPr>
        <i/>
        <sz val="9"/>
        <color rgb="FF595959"/>
        <rFont val="Arial"/>
      </rPr>
      <t>Source: Extension, step E4.</t>
    </r>
  </si>
  <si>
    <r>
      <rPr>
        <sz val="10"/>
        <color rgb="FF0000FF"/>
        <rFont val="Arial"/>
      </rPr>
      <t>ADC_att</t>
    </r>
    <r>
      <rPr>
        <sz val="10"/>
        <color rgb="FF000000"/>
        <rFont val="Arial"/>
      </rPr>
      <t xml:space="preserve"> — </t>
    </r>
    <r>
      <rPr>
        <sz val="10"/>
        <color rgb="FF000000"/>
        <rFont val="Arial"/>
      </rPr>
      <t xml:space="preserve">attachment point, as a % of the booked reserve.  </t>
    </r>
    <r>
      <rPr>
        <i/>
        <sz val="9"/>
        <color rgb="FF595959"/>
        <rFont val="Arial"/>
      </rPr>
      <t>Source: Parameters, Table 9; named range ADC_att.</t>
    </r>
  </si>
  <si>
    <r>
      <rPr>
        <sz val="10"/>
        <color rgb="FF0000FF"/>
        <rFont val="Arial"/>
      </rPr>
      <t>ADC_exh</t>
    </r>
    <r>
      <rPr>
        <sz val="10"/>
        <color rgb="FF000000"/>
        <rFont val="Arial"/>
      </rPr>
      <t xml:space="preserve"> — </t>
    </r>
    <r>
      <rPr>
        <sz val="10"/>
        <color rgb="FF000000"/>
        <rFont val="Arial"/>
      </rPr>
      <t xml:space="preserve">exhaustion point, as a % of the booked reserve.  </t>
    </r>
    <r>
      <rPr>
        <i/>
        <sz val="9"/>
        <color rgb="FF595959"/>
        <rFont val="Arial"/>
      </rPr>
      <t>Source: Parameters, Table 9; named range ADC_exh.</t>
    </r>
  </si>
  <si>
    <r>
      <rPr>
        <sz val="10"/>
        <color rgb="FF0000FF"/>
        <rFont val="Arial"/>
      </rPr>
      <t>ADC_rol</t>
    </r>
    <r>
      <rPr>
        <sz val="10"/>
        <color rgb="FF000000"/>
        <rFont val="Arial"/>
      </rPr>
      <t xml:space="preserve"> — </t>
    </r>
    <r>
      <rPr>
        <sz val="10"/>
        <color rgb="FF000000"/>
        <rFont val="Arial"/>
      </rPr>
      <t xml:space="preserve">rate on line, as a % of the limit.  </t>
    </r>
    <r>
      <rPr>
        <i/>
        <sz val="9"/>
        <color rgb="FF595959"/>
        <rFont val="Arial"/>
      </rPr>
      <t>Source: Parameters, Table 9; named range ADC_rol.</t>
    </r>
  </si>
  <si>
    <r>
      <rPr>
        <i/>
        <sz val="10"/>
        <color rgb="FF000000"/>
        <rFont val="Arial"/>
      </rPr>
      <t>Booked</t>
    </r>
    <r>
      <rPr>
        <sz val="10"/>
        <color rgb="FF000000"/>
        <rFont val="Arial"/>
      </rPr>
      <t xml:space="preserve"> — </t>
    </r>
    <r>
      <rPr>
        <sz val="10"/>
        <color rgb="FF000000"/>
        <rFont val="Arial"/>
      </rPr>
      <t xml:space="preserve">booked reserve on the basis named in cell C5.  </t>
    </r>
    <r>
      <rPr>
        <i/>
        <sz val="9"/>
        <color rgb="FF595959"/>
        <rFont val="Arial"/>
      </rPr>
      <t>Source: ADC, 'Booked reserve'.</t>
    </r>
  </si>
  <si>
    <r>
      <rPr>
        <i/>
        <sz val="10"/>
        <color rgb="FF000000"/>
        <rFont val="Arial"/>
      </rPr>
      <t>Attach</t>
    </r>
    <r>
      <rPr>
        <sz val="10"/>
        <color rgb="FF000000"/>
        <rFont val="Arial"/>
      </rPr>
      <t xml:space="preserve"> — </t>
    </r>
    <r>
      <rPr>
        <sz val="10"/>
        <color rgb="FF000000"/>
        <rFont val="Arial"/>
      </rPr>
      <t xml:space="preserve">attachment amount, £000 = Booked × ADC_att.  </t>
    </r>
    <r>
      <rPr>
        <i/>
        <sz val="9"/>
        <color rgb="FF595959"/>
        <rFont val="Arial"/>
      </rPr>
      <t>Source: ADC, 'Attachment point'.</t>
    </r>
  </si>
  <si>
    <r>
      <rPr>
        <i/>
        <sz val="10"/>
        <color rgb="FF000000"/>
        <rFont val="Arial"/>
      </rPr>
      <t>Exhaust</t>
    </r>
    <r>
      <rPr>
        <sz val="10"/>
        <color rgb="FF000000"/>
        <rFont val="Arial"/>
      </rPr>
      <t xml:space="preserve"> — </t>
    </r>
    <r>
      <rPr>
        <sz val="10"/>
        <color rgb="FF000000"/>
        <rFont val="Arial"/>
      </rPr>
      <t xml:space="preserve">exhaustion amount, £000 = Booked × ADC_exh.  </t>
    </r>
    <r>
      <rPr>
        <i/>
        <sz val="9"/>
        <color rgb="FF595959"/>
        <rFont val="Arial"/>
      </rPr>
      <t>Source: ADC, 'Exhaustion point'.</t>
    </r>
  </si>
  <si>
    <r>
      <rPr>
        <i/>
        <sz val="10"/>
        <color rgb="FF000000"/>
        <rFont val="Arial"/>
      </rPr>
      <t>Limit</t>
    </r>
    <r>
      <rPr>
        <sz val="10"/>
        <color rgb="FF000000"/>
        <rFont val="Arial"/>
      </rPr>
      <t xml:space="preserve"> — </t>
    </r>
    <r>
      <rPr>
        <sz val="10"/>
        <color rgb="FF000000"/>
        <rFont val="Arial"/>
      </rPr>
      <t xml:space="preserve">limit of cover, £000 = Exhaust − Attach.  </t>
    </r>
    <r>
      <rPr>
        <i/>
        <sz val="9"/>
        <color rgb="FF595959"/>
        <rFont val="Arial"/>
      </rPr>
      <t>Source: ADC, 'Limit of cover'.</t>
    </r>
  </si>
  <si>
    <r>
      <rPr>
        <i/>
        <sz val="10"/>
        <color rgb="FF000000"/>
        <rFont val="Arial"/>
      </rPr>
      <t>Premium</t>
    </r>
    <r>
      <rPr>
        <sz val="10"/>
        <color rgb="FF000000"/>
        <rFont val="Arial"/>
      </rPr>
      <t xml:space="preserve"> — </t>
    </r>
    <r>
      <rPr>
        <sz val="10"/>
        <color rgb="FF000000"/>
        <rFont val="Arial"/>
      </rPr>
      <t xml:space="preserve">reinsurance premium, £000 = Limit × ADC_rol.  </t>
    </r>
    <r>
      <rPr>
        <i/>
        <sz val="9"/>
        <color rgb="FF595959"/>
        <rFont val="Arial"/>
      </rPr>
      <t>Source: ADC, 'Premium payable'.</t>
    </r>
  </si>
  <si>
    <r>
      <rPr>
        <i/>
        <sz val="10"/>
        <color rgb="FF000000"/>
        <rFont val="Arial"/>
      </rPr>
      <t>Recovery</t>
    </r>
    <r>
      <rPr>
        <i/>
        <vertAlign val="subscript"/>
        <sz val="8"/>
        <color rgb="FF000000"/>
        <rFont val="Arial"/>
      </rPr>
      <t>i</t>
    </r>
    <r>
      <rPr>
        <sz val="10"/>
        <color rgb="FF000000"/>
        <rFont val="Arial"/>
      </rPr>
      <t xml:space="preserve"> — </t>
    </r>
    <r>
      <rPr>
        <sz val="10"/>
        <color rgb="FF000000"/>
        <rFont val="Arial"/>
      </rPr>
      <t xml:space="preserve">recovery under the cover, £000 = min(max(Reserve'ᵢ − Attach, 0), Limit).  </t>
    </r>
    <r>
      <rPr>
        <i/>
        <sz val="9"/>
        <color rgb="FF595959"/>
        <rFont val="Arial"/>
      </rPr>
      <t>Source: ADC, layer table.</t>
    </r>
  </si>
  <si>
    <r>
      <rPr>
        <i/>
        <sz val="10"/>
        <color rgb="FF000000"/>
        <rFont val="Arial"/>
      </rPr>
      <t>LDF</t>
    </r>
    <r>
      <rPr>
        <i/>
        <vertAlign val="subscript"/>
        <sz val="8"/>
        <color rgb="FF000000"/>
        <rFont val="Arial"/>
      </rPr>
      <t>j</t>
    </r>
    <r>
      <rPr>
        <sz val="10"/>
        <color rgb="FF000000"/>
        <rFont val="Arial"/>
      </rPr>
      <t xml:space="preserve"> = </t>
    </r>
    <r>
      <rPr>
        <sz val="10"/>
        <color rgb="FF000000"/>
        <rFont val="Arial"/>
      </rPr>
      <t>Σ</t>
    </r>
    <r>
      <rPr>
        <i/>
        <vertAlign val="subscript"/>
        <sz val="8"/>
        <color rgb="FF000000"/>
        <rFont val="Arial"/>
      </rPr>
      <t>i</t>
    </r>
    <r>
      <rPr>
        <i/>
        <sz val="10"/>
        <color rgb="FF000000"/>
        <rFont val="Arial"/>
      </rPr>
      <t>Paid</t>
    </r>
    <r>
      <rPr>
        <i/>
        <vertAlign val="subscript"/>
        <sz val="8"/>
        <color rgb="FF000000"/>
        <rFont val="Arial"/>
      </rPr>
      <t>i,j+1</t>
    </r>
    <r>
      <rPr>
        <sz val="10"/>
        <color rgb="FF000000"/>
        <rFont val="Arial"/>
      </rPr>
      <t xml:space="preserve"> / </t>
    </r>
    <r>
      <rPr>
        <sz val="10"/>
        <color rgb="FF000000"/>
        <rFont val="Arial"/>
      </rPr>
      <t>Σ</t>
    </r>
    <r>
      <rPr>
        <i/>
        <vertAlign val="subscript"/>
        <sz val="8"/>
        <color rgb="FF000000"/>
        <rFont val="Arial"/>
      </rPr>
      <t>i</t>
    </r>
    <r>
      <rPr>
        <i/>
        <sz val="10"/>
        <color rgb="FF000000"/>
        <rFont val="Arial"/>
      </rPr>
      <t>Paid</t>
    </r>
    <r>
      <rPr>
        <i/>
        <vertAlign val="subscript"/>
        <sz val="8"/>
        <color rgb="FF000000"/>
        <rFont val="Arial"/>
      </rPr>
      <t>i,j</t>
    </r>
  </si>
  <si>
    <r>
      <rPr>
        <i/>
        <sz val="10"/>
        <color rgb="FF000000"/>
        <rFont val="Arial"/>
      </rPr>
      <t>CDF</t>
    </r>
    <r>
      <rPr>
        <i/>
        <vertAlign val="subscript"/>
        <sz val="8"/>
        <color rgb="FF000000"/>
        <rFont val="Arial"/>
      </rPr>
      <t>j</t>
    </r>
    <r>
      <rPr>
        <sz val="10"/>
        <color rgb="FF000000"/>
        <rFont val="Arial"/>
      </rPr>
      <t xml:space="preserve"> = </t>
    </r>
    <r>
      <rPr>
        <i/>
        <sz val="10"/>
        <color rgb="FF000000"/>
        <rFont val="Arial"/>
      </rPr>
      <t>LDF</t>
    </r>
    <r>
      <rPr>
        <i/>
        <vertAlign val="subscript"/>
        <sz val="8"/>
        <color rgb="FF000000"/>
        <rFont val="Arial"/>
      </rPr>
      <t>j</t>
    </r>
    <r>
      <rPr>
        <sz val="10"/>
        <color rgb="FF000000"/>
        <rFont val="Arial"/>
      </rPr>
      <t xml:space="preserve"> × </t>
    </r>
    <r>
      <rPr>
        <i/>
        <sz val="10"/>
        <color rgb="FF000000"/>
        <rFont val="Arial"/>
      </rPr>
      <t>CDF</t>
    </r>
    <r>
      <rPr>
        <i/>
        <vertAlign val="subscript"/>
        <sz val="8"/>
        <color rgb="FF000000"/>
        <rFont val="Arial"/>
      </rPr>
      <t>j+1</t>
    </r>
    <r>
      <rPr>
        <sz val="10"/>
        <color rgb="FF000000"/>
        <rFont val="Arial"/>
      </rPr>
      <t xml:space="preserve">  ,   </t>
    </r>
    <r>
      <rPr>
        <i/>
        <sz val="10"/>
        <color rgb="FF000000"/>
        <rFont val="Arial"/>
      </rPr>
      <t>CDF</t>
    </r>
    <r>
      <rPr>
        <i/>
        <vertAlign val="subscript"/>
        <sz val="8"/>
        <color rgb="FF000000"/>
        <rFont val="Arial"/>
      </rPr>
      <t>6</t>
    </r>
    <r>
      <rPr>
        <sz val="10"/>
        <color rgb="FF000000"/>
        <rFont val="Arial"/>
      </rPr>
      <t xml:space="preserve"> = 1</t>
    </r>
  </si>
  <si>
    <r>
      <rPr>
        <i/>
        <sz val="10"/>
        <color rgb="FF000000"/>
        <rFont val="Arial"/>
      </rPr>
      <t>CL</t>
    </r>
    <r>
      <rPr>
        <i/>
        <vertAlign val="subscript"/>
        <sz val="8"/>
        <color rgb="FF000000"/>
        <rFont val="Arial"/>
      </rPr>
      <t>i</t>
    </r>
    <r>
      <rPr>
        <sz val="10"/>
        <color rgb="FF000000"/>
        <rFont val="Arial"/>
      </rPr>
      <t xml:space="preserve"> = </t>
    </r>
    <r>
      <rPr>
        <i/>
        <sz val="10"/>
        <color rgb="FF000000"/>
        <rFont val="Arial"/>
      </rPr>
      <t>Paid</t>
    </r>
    <r>
      <rPr>
        <i/>
        <vertAlign val="subscript"/>
        <sz val="8"/>
        <color rgb="FF000000"/>
        <rFont val="Arial"/>
      </rPr>
      <t>i</t>
    </r>
    <r>
      <rPr>
        <sz val="10"/>
        <color rgb="FF000000"/>
        <rFont val="Arial"/>
      </rPr>
      <t xml:space="preserve"> × </t>
    </r>
    <r>
      <rPr>
        <i/>
        <sz val="10"/>
        <color rgb="FF000000"/>
        <rFont val="Arial"/>
      </rPr>
      <t>CDF</t>
    </r>
    <r>
      <rPr>
        <i/>
        <vertAlign val="subscript"/>
        <sz val="8"/>
        <color rgb="FF000000"/>
        <rFont val="Arial"/>
      </rPr>
      <t>d(i)</t>
    </r>
  </si>
  <si>
    <r>
      <rPr>
        <i/>
        <sz val="10"/>
        <color rgb="FF000000"/>
        <rFont val="Arial"/>
      </rPr>
      <t>OLP</t>
    </r>
    <r>
      <rPr>
        <i/>
        <vertAlign val="subscript"/>
        <sz val="8"/>
        <color rgb="FF000000"/>
        <rFont val="Arial"/>
      </rPr>
      <t>i</t>
    </r>
    <r>
      <rPr>
        <sz val="10"/>
        <color rgb="FF000000"/>
        <rFont val="Arial"/>
      </rPr>
      <t xml:space="preserve"> = </t>
    </r>
    <r>
      <rPr>
        <i/>
        <sz val="10"/>
        <color rgb="FF000000"/>
        <rFont val="Arial"/>
      </rPr>
      <t>EP</t>
    </r>
    <r>
      <rPr>
        <i/>
        <vertAlign val="subscript"/>
        <sz val="8"/>
        <color rgb="FF000000"/>
        <rFont val="Arial"/>
      </rPr>
      <t>i</t>
    </r>
    <r>
      <rPr>
        <sz val="10"/>
        <color rgb="FF000000"/>
        <rFont val="Arial"/>
      </rPr>
      <t xml:space="preserve"> × </t>
    </r>
    <r>
      <rPr>
        <i/>
        <sz val="10"/>
        <color rgb="FF000000"/>
        <rFont val="Arial"/>
      </rPr>
      <t>OLF</t>
    </r>
    <r>
      <rPr>
        <i/>
        <vertAlign val="subscript"/>
        <sz val="8"/>
        <color rgb="FF000000"/>
        <rFont val="Arial"/>
      </rPr>
      <t>i</t>
    </r>
    <r>
      <rPr>
        <sz val="10"/>
        <color rgb="FF000000"/>
        <rFont val="Arial"/>
      </rPr>
      <t xml:space="preserve">  ,   </t>
    </r>
    <r>
      <rPr>
        <i/>
        <sz val="10"/>
        <color rgb="FF000000"/>
        <rFont val="Arial"/>
      </rPr>
      <t>OLF</t>
    </r>
    <r>
      <rPr>
        <i/>
        <vertAlign val="subscript"/>
        <sz val="8"/>
        <color rgb="FF000000"/>
        <rFont val="Arial"/>
      </rPr>
      <t>i</t>
    </r>
    <r>
      <rPr>
        <sz val="10"/>
        <color rgb="FF000000"/>
        <rFont val="Arial"/>
      </rPr>
      <t xml:space="preserve"> = </t>
    </r>
    <r>
      <rPr>
        <i/>
        <sz val="10"/>
        <color rgb="FF000000"/>
        <rFont val="Arial"/>
      </rPr>
      <t>RateIdx</t>
    </r>
    <r>
      <rPr>
        <i/>
        <vertAlign val="subscript"/>
        <sz val="8"/>
        <color rgb="FF000000"/>
        <rFont val="Arial"/>
      </rPr>
      <t>6</t>
    </r>
    <r>
      <rPr>
        <sz val="10"/>
        <color rgb="FF000000"/>
        <rFont val="Arial"/>
      </rPr>
      <t xml:space="preserve"> / </t>
    </r>
    <r>
      <rPr>
        <i/>
        <sz val="10"/>
        <color rgb="FF000000"/>
        <rFont val="Arial"/>
      </rPr>
      <t>RateIdx</t>
    </r>
    <r>
      <rPr>
        <i/>
        <vertAlign val="subscript"/>
        <sz val="8"/>
        <color rgb="FF000000"/>
        <rFont val="Arial"/>
      </rPr>
      <t>i</t>
    </r>
  </si>
  <si>
    <r>
      <rPr>
        <i/>
        <sz val="10"/>
        <color rgb="FF000000"/>
        <rFont val="Arial"/>
      </rPr>
      <t>TF</t>
    </r>
    <r>
      <rPr>
        <i/>
        <vertAlign val="subscript"/>
        <sz val="8"/>
        <color rgb="FF000000"/>
        <rFont val="Arial"/>
      </rPr>
      <t>i</t>
    </r>
    <r>
      <rPr>
        <sz val="10"/>
        <color rgb="FF000000"/>
        <rFont val="Arial"/>
      </rPr>
      <t xml:space="preserve"> = (1 + </t>
    </r>
    <r>
      <rPr>
        <sz val="10"/>
        <color rgb="FF0000FF"/>
        <rFont val="Arial"/>
      </rPr>
      <t>Loss_trend</t>
    </r>
    <r>
      <rPr>
        <sz val="10"/>
        <color rgb="FF000000"/>
        <rFont val="Arial"/>
      </rPr>
      <t>)</t>
    </r>
    <r>
      <rPr>
        <i/>
        <vertAlign val="superscript"/>
        <sz val="8"/>
        <color rgb="FF000000"/>
        <rFont val="Arial"/>
      </rPr>
      <t>2025−year(i)</t>
    </r>
  </si>
  <si>
    <r>
      <rPr>
        <i/>
        <sz val="10"/>
        <color rgb="FF000000"/>
        <rFont val="Arial"/>
      </rPr>
      <t>EI</t>
    </r>
    <r>
      <rPr>
        <sz val="10"/>
        <color rgb="FF000000"/>
        <rFont val="Arial"/>
      </rPr>
      <t xml:space="preserve"> = </t>
    </r>
    <r>
      <rPr>
        <sz val="10"/>
        <color rgb="FF000000"/>
        <rFont val="Arial"/>
      </rPr>
      <t>Σ</t>
    </r>
    <r>
      <rPr>
        <i/>
        <vertAlign val="subscript"/>
        <sz val="8"/>
        <color rgb="FF000000"/>
        <rFont val="Arial"/>
      </rPr>
      <t>mature</t>
    </r>
    <r>
      <rPr>
        <sz val="10"/>
        <color rgb="FF000000"/>
        <rFont val="Arial"/>
      </rPr>
      <t xml:space="preserve"> </t>
    </r>
    <r>
      <rPr>
        <i/>
        <sz val="10"/>
        <color rgb="FF000000"/>
        <rFont val="Arial"/>
      </rPr>
      <t>CL</t>
    </r>
    <r>
      <rPr>
        <i/>
        <vertAlign val="subscript"/>
        <sz val="8"/>
        <color rgb="FF000000"/>
        <rFont val="Arial"/>
      </rPr>
      <t>i</t>
    </r>
    <r>
      <rPr>
        <i/>
        <sz val="10"/>
        <color rgb="FF000000"/>
        <rFont val="Arial"/>
      </rPr>
      <t>TF</t>
    </r>
    <r>
      <rPr>
        <i/>
        <vertAlign val="subscript"/>
        <sz val="8"/>
        <color rgb="FF000000"/>
        <rFont val="Arial"/>
      </rPr>
      <t>i</t>
    </r>
    <r>
      <rPr>
        <sz val="10"/>
        <color rgb="FF000000"/>
        <rFont val="Arial"/>
      </rPr>
      <t xml:space="preserve"> / </t>
    </r>
    <r>
      <rPr>
        <sz val="10"/>
        <color rgb="FF000000"/>
        <rFont val="Arial"/>
      </rPr>
      <t>Σ</t>
    </r>
    <r>
      <rPr>
        <i/>
        <vertAlign val="subscript"/>
        <sz val="8"/>
        <color rgb="FF000000"/>
        <rFont val="Arial"/>
      </rPr>
      <t>mature</t>
    </r>
    <r>
      <rPr>
        <sz val="10"/>
        <color rgb="FF000000"/>
        <rFont val="Arial"/>
      </rPr>
      <t xml:space="preserve"> </t>
    </r>
    <r>
      <rPr>
        <i/>
        <sz val="10"/>
        <color rgb="FF000000"/>
        <rFont val="Arial"/>
      </rPr>
      <t>OLP</t>
    </r>
    <r>
      <rPr>
        <i/>
        <vertAlign val="subscript"/>
        <sz val="8"/>
        <color rgb="FF000000"/>
        <rFont val="Arial"/>
      </rPr>
      <t>i</t>
    </r>
  </si>
  <si>
    <r>
      <rPr>
        <i/>
        <sz val="10"/>
        <color rgb="FF000000"/>
        <rFont val="Arial"/>
      </rPr>
      <t>Z</t>
    </r>
    <r>
      <rPr>
        <sz val="10"/>
        <color rgb="FF000000"/>
        <rFont val="Arial"/>
      </rPr>
      <t xml:space="preserve"> = min</t>
    </r>
    <r>
      <rPr>
        <sz val="10"/>
        <color rgb="FF000000"/>
        <rFont val="Arial"/>
      </rPr>
      <t>(</t>
    </r>
    <r>
      <rPr>
        <sz val="10"/>
        <color rgb="FF000000"/>
        <rFont val="Arial"/>
      </rPr>
      <t xml:space="preserve">1, </t>
    </r>
    <r>
      <rPr>
        <sz val="10"/>
        <color rgb="FF000000"/>
        <rFont val="Arial"/>
      </rPr>
      <t>√</t>
    </r>
    <r>
      <rPr>
        <sz val="10"/>
        <color rgb="FF000000"/>
        <rFont val="Arial"/>
      </rPr>
      <t>(</t>
    </r>
    <r>
      <rPr>
        <i/>
        <sz val="10"/>
        <color rgb="FF000000"/>
        <rFont val="Arial"/>
      </rPr>
      <t>n</t>
    </r>
    <r>
      <rPr>
        <sz val="10"/>
        <color rgb="FF000000"/>
        <rFont val="Arial"/>
      </rPr>
      <t xml:space="preserve"> / </t>
    </r>
    <r>
      <rPr>
        <sz val="10"/>
        <color rgb="FF0000FF"/>
        <rFont val="Arial"/>
      </rPr>
      <t>Cred_full</t>
    </r>
    <r>
      <rPr>
        <sz val="10"/>
        <color rgb="FF000000"/>
        <rFont val="Arial"/>
      </rPr>
      <t>)</t>
    </r>
    <r>
      <rPr>
        <sz val="10"/>
        <color rgb="FF000000"/>
        <rFont val="Arial"/>
      </rPr>
      <t>)</t>
    </r>
  </si>
  <si>
    <r>
      <rPr>
        <i/>
        <sz val="10"/>
        <color rgb="FF000000"/>
        <rFont val="Arial"/>
      </rPr>
      <t>ELR</t>
    </r>
    <r>
      <rPr>
        <sz val="10"/>
        <color rgb="FF000000"/>
        <rFont val="Arial"/>
      </rPr>
      <t xml:space="preserve"> = </t>
    </r>
    <r>
      <rPr>
        <i/>
        <sz val="10"/>
        <color rgb="FF000000"/>
        <rFont val="Arial"/>
      </rPr>
      <t>Z</t>
    </r>
    <r>
      <rPr>
        <sz val="10"/>
        <color rgb="FF000000"/>
        <rFont val="Arial"/>
      </rPr>
      <t xml:space="preserve"> × </t>
    </r>
    <r>
      <rPr>
        <i/>
        <sz val="10"/>
        <color rgb="FF000000"/>
        <rFont val="Arial"/>
      </rPr>
      <t>EI</t>
    </r>
    <r>
      <rPr>
        <sz val="10"/>
        <color rgb="FF000000"/>
        <rFont val="Arial"/>
      </rPr>
      <t xml:space="preserve"> + (1 − </t>
    </r>
    <r>
      <rPr>
        <i/>
        <sz val="10"/>
        <color rgb="FF000000"/>
        <rFont val="Arial"/>
      </rPr>
      <t>Z</t>
    </r>
    <r>
      <rPr>
        <sz val="10"/>
        <color rgb="FF000000"/>
        <rFont val="Arial"/>
      </rPr>
      <t xml:space="preserve">) × </t>
    </r>
    <r>
      <rPr>
        <sz val="10"/>
        <color rgb="FF0000FF"/>
        <rFont val="Arial"/>
      </rPr>
      <t>Plan_LR</t>
    </r>
  </si>
  <si>
    <r>
      <rPr>
        <i/>
        <sz val="10"/>
        <color rgb="FF000000"/>
        <rFont val="Arial"/>
      </rPr>
      <t>EC</t>
    </r>
    <r>
      <rPr>
        <i/>
        <vertAlign val="subscript"/>
        <sz val="8"/>
        <color rgb="FF000000"/>
        <rFont val="Arial"/>
      </rPr>
      <t>i</t>
    </r>
    <r>
      <rPr>
        <sz val="10"/>
        <color rgb="FF000000"/>
        <rFont val="Arial"/>
      </rPr>
      <t xml:space="preserve"> = </t>
    </r>
    <r>
      <rPr>
        <i/>
        <sz val="10"/>
        <color rgb="FF000000"/>
        <rFont val="Arial"/>
      </rPr>
      <t>OLP</t>
    </r>
    <r>
      <rPr>
        <i/>
        <vertAlign val="subscript"/>
        <sz val="8"/>
        <color rgb="FF000000"/>
        <rFont val="Arial"/>
      </rPr>
      <t>i</t>
    </r>
    <r>
      <rPr>
        <sz val="10"/>
        <color rgb="FF000000"/>
        <rFont val="Arial"/>
      </rPr>
      <t xml:space="preserve"> × </t>
    </r>
    <r>
      <rPr>
        <i/>
        <sz val="10"/>
        <color rgb="FF000000"/>
        <rFont val="Arial"/>
      </rPr>
      <t>ELR</t>
    </r>
    <r>
      <rPr>
        <sz val="10"/>
        <color rgb="FF000000"/>
        <rFont val="Arial"/>
      </rPr>
      <t xml:space="preserve"> / </t>
    </r>
    <r>
      <rPr>
        <i/>
        <sz val="10"/>
        <color rgb="FF000000"/>
        <rFont val="Arial"/>
      </rPr>
      <t>TF</t>
    </r>
    <r>
      <rPr>
        <i/>
        <vertAlign val="subscript"/>
        <sz val="8"/>
        <color rgb="FF000000"/>
        <rFont val="Arial"/>
      </rPr>
      <t>i</t>
    </r>
  </si>
  <si>
    <r>
      <rPr>
        <i/>
        <sz val="10"/>
        <color rgb="FF000000"/>
        <rFont val="Arial"/>
      </rPr>
      <t>BF</t>
    </r>
    <r>
      <rPr>
        <i/>
        <vertAlign val="subscript"/>
        <sz val="8"/>
        <color rgb="FF000000"/>
        <rFont val="Arial"/>
      </rPr>
      <t>i</t>
    </r>
    <r>
      <rPr>
        <sz val="10"/>
        <color rgb="FF000000"/>
        <rFont val="Arial"/>
      </rPr>
      <t xml:space="preserve"> = </t>
    </r>
    <r>
      <rPr>
        <i/>
        <sz val="10"/>
        <color rgb="FF000000"/>
        <rFont val="Arial"/>
      </rPr>
      <t>Paid</t>
    </r>
    <r>
      <rPr>
        <i/>
        <vertAlign val="subscript"/>
        <sz val="8"/>
        <color rgb="FF000000"/>
        <rFont val="Arial"/>
      </rPr>
      <t>i</t>
    </r>
    <r>
      <rPr>
        <sz val="10"/>
        <color rgb="FF000000"/>
        <rFont val="Arial"/>
      </rPr>
      <t xml:space="preserve"> + </t>
    </r>
    <r>
      <rPr>
        <i/>
        <sz val="10"/>
        <color rgb="FF000000"/>
        <rFont val="Arial"/>
      </rPr>
      <t>EC</t>
    </r>
    <r>
      <rPr>
        <i/>
        <vertAlign val="subscript"/>
        <sz val="8"/>
        <color rgb="FF000000"/>
        <rFont val="Arial"/>
      </rPr>
      <t>i</t>
    </r>
    <r>
      <rPr>
        <sz val="10"/>
        <color rgb="FF000000"/>
        <rFont val="Arial"/>
      </rPr>
      <t xml:space="preserve"> × (1 − 1 / </t>
    </r>
    <r>
      <rPr>
        <i/>
        <sz val="10"/>
        <color rgb="FF000000"/>
        <rFont val="Arial"/>
      </rPr>
      <t>CDF</t>
    </r>
    <r>
      <rPr>
        <i/>
        <vertAlign val="subscript"/>
        <sz val="8"/>
        <color rgb="FF000000"/>
        <rFont val="Arial"/>
      </rPr>
      <t>d(i)</t>
    </r>
    <r>
      <rPr>
        <sz val="10"/>
        <color rgb="FF000000"/>
        <rFont val="Arial"/>
      </rPr>
      <t>)</t>
    </r>
  </si>
  <si>
    <r>
      <rPr>
        <i/>
        <sz val="10"/>
        <color rgb="FF000000"/>
        <rFont val="Arial"/>
      </rPr>
      <t>CDF</t>
    </r>
    <r>
      <rPr>
        <sz val="10"/>
        <color rgb="FF000000"/>
        <rFont val="Arial"/>
      </rPr>
      <t>'</t>
    </r>
    <r>
      <rPr>
        <i/>
        <vertAlign val="subscript"/>
        <sz val="8"/>
        <color rgb="FF000000"/>
        <rFont val="Arial"/>
      </rPr>
      <t>j</t>
    </r>
    <r>
      <rPr>
        <sz val="10"/>
        <color rgb="FF000000"/>
        <rFont val="Arial"/>
      </rPr>
      <t xml:space="preserve"> = </t>
    </r>
    <r>
      <rPr>
        <i/>
        <sz val="10"/>
        <color rgb="FF000000"/>
        <rFont val="Arial"/>
      </rPr>
      <t>CDF</t>
    </r>
    <r>
      <rPr>
        <i/>
        <vertAlign val="subscript"/>
        <sz val="8"/>
        <color rgb="FF000000"/>
        <rFont val="Arial"/>
      </rPr>
      <t>j</t>
    </r>
    <r>
      <rPr>
        <sz val="10"/>
        <color rgb="FF000000"/>
        <rFont val="Arial"/>
      </rPr>
      <t xml:space="preserve"> × </t>
    </r>
    <r>
      <rPr>
        <sz val="10"/>
        <color rgb="FF0000FF"/>
        <rFont val="Arial"/>
      </rPr>
      <t>Ext_tail</t>
    </r>
  </si>
  <si>
    <r>
      <rPr>
        <i/>
        <sz val="10"/>
        <color rgb="FF000000"/>
        <rFont val="Arial"/>
      </rPr>
      <t>Uplift</t>
    </r>
    <r>
      <rPr>
        <i/>
        <vertAlign val="subscript"/>
        <sz val="8"/>
        <color rgb="FF000000"/>
        <rFont val="Arial"/>
      </rPr>
      <t>i</t>
    </r>
    <r>
      <rPr>
        <sz val="10"/>
        <color rgb="FF000000"/>
        <rFont val="Arial"/>
      </rPr>
      <t xml:space="preserve"> = (1 + </t>
    </r>
    <r>
      <rPr>
        <sz val="10"/>
        <color rgb="FF0000FF"/>
        <rFont val="Arial"/>
      </rPr>
      <t>Ext_shock</t>
    </r>
    <r>
      <rPr>
        <sz val="10"/>
        <color rgb="FF000000"/>
        <rFont val="Arial"/>
      </rPr>
      <t>)</t>
    </r>
    <r>
      <rPr>
        <i/>
        <vertAlign val="superscript"/>
        <sz val="8"/>
        <color rgb="FF000000"/>
        <rFont val="Arial"/>
      </rPr>
      <t>lag(i)</t>
    </r>
  </si>
  <si>
    <r>
      <rPr>
        <i/>
        <sz val="10"/>
        <color rgb="FF000000"/>
        <rFont val="Arial"/>
      </rPr>
      <t>X</t>
    </r>
    <r>
      <rPr>
        <sz val="10"/>
        <color rgb="FF000000"/>
        <rFont val="Arial"/>
      </rPr>
      <t>'</t>
    </r>
    <r>
      <rPr>
        <i/>
        <vertAlign val="subscript"/>
        <sz val="8"/>
        <color rgb="FF000000"/>
        <rFont val="Arial"/>
      </rPr>
      <t>i</t>
    </r>
    <r>
      <rPr>
        <sz val="10"/>
        <color rgb="FF000000"/>
        <rFont val="Arial"/>
      </rPr>
      <t xml:space="preserve"> = </t>
    </r>
    <r>
      <rPr>
        <i/>
        <sz val="10"/>
        <color rgb="FF000000"/>
        <rFont val="Arial"/>
      </rPr>
      <t>Paid</t>
    </r>
    <r>
      <rPr>
        <i/>
        <vertAlign val="subscript"/>
        <sz val="8"/>
        <color rgb="FF000000"/>
        <rFont val="Arial"/>
      </rPr>
      <t>i</t>
    </r>
    <r>
      <rPr>
        <sz val="10"/>
        <color rgb="FF000000"/>
        <rFont val="Arial"/>
      </rPr>
      <t xml:space="preserve"> + max(</t>
    </r>
    <r>
      <rPr>
        <i/>
        <sz val="10"/>
        <color rgb="FF000000"/>
        <rFont val="Arial"/>
      </rPr>
      <t>X</t>
    </r>
    <r>
      <rPr>
        <i/>
        <vertAlign val="subscript"/>
        <sz val="8"/>
        <color rgb="FF000000"/>
        <rFont val="Arial"/>
      </rPr>
      <t>i</t>
    </r>
    <r>
      <rPr>
        <sz val="10"/>
        <color rgb="FF000000"/>
        <rFont val="Arial"/>
      </rPr>
      <t xml:space="preserve"> − </t>
    </r>
    <r>
      <rPr>
        <i/>
        <sz val="10"/>
        <color rgb="FF000000"/>
        <rFont val="Arial"/>
      </rPr>
      <t>Paid</t>
    </r>
    <r>
      <rPr>
        <i/>
        <vertAlign val="subscript"/>
        <sz val="8"/>
        <color rgb="FF000000"/>
        <rFont val="Arial"/>
      </rPr>
      <t>i</t>
    </r>
    <r>
      <rPr>
        <sz val="10"/>
        <color rgb="FF000000"/>
        <rFont val="Arial"/>
      </rPr>
      <t xml:space="preserve">, 0) × </t>
    </r>
    <r>
      <rPr>
        <i/>
        <sz val="10"/>
        <color rgb="FF000000"/>
        <rFont val="Arial"/>
      </rPr>
      <t>Uplift</t>
    </r>
    <r>
      <rPr>
        <i/>
        <vertAlign val="subscript"/>
        <sz val="8"/>
        <color rgb="FF000000"/>
        <rFont val="Arial"/>
      </rPr>
      <t>i</t>
    </r>
  </si>
  <si>
    <r>
      <rPr>
        <i/>
        <sz val="10"/>
        <color rgb="FF000000"/>
        <rFont val="Arial"/>
      </rPr>
      <t>Attach</t>
    </r>
    <r>
      <rPr>
        <sz val="10"/>
        <color rgb="FF000000"/>
        <rFont val="Arial"/>
      </rPr>
      <t xml:space="preserve"> = </t>
    </r>
    <r>
      <rPr>
        <i/>
        <sz val="10"/>
        <color rgb="FF000000"/>
        <rFont val="Arial"/>
      </rPr>
      <t>Booked</t>
    </r>
    <r>
      <rPr>
        <sz val="10"/>
        <color rgb="FF000000"/>
        <rFont val="Arial"/>
      </rPr>
      <t xml:space="preserve"> × </t>
    </r>
    <r>
      <rPr>
        <sz val="10"/>
        <color rgb="FF0000FF"/>
        <rFont val="Arial"/>
      </rPr>
      <t>ADC_att</t>
    </r>
    <r>
      <rPr>
        <sz val="10"/>
        <color rgb="FF000000"/>
        <rFont val="Arial"/>
      </rPr>
      <t xml:space="preserve">   ,   </t>
    </r>
    <r>
      <rPr>
        <i/>
        <sz val="10"/>
        <color rgb="FF000000"/>
        <rFont val="Arial"/>
      </rPr>
      <t>Exhaust</t>
    </r>
    <r>
      <rPr>
        <sz val="10"/>
        <color rgb="FF000000"/>
        <rFont val="Arial"/>
      </rPr>
      <t xml:space="preserve"> = </t>
    </r>
    <r>
      <rPr>
        <i/>
        <sz val="10"/>
        <color rgb="FF000000"/>
        <rFont val="Arial"/>
      </rPr>
      <t>Booked</t>
    </r>
    <r>
      <rPr>
        <sz val="10"/>
        <color rgb="FF000000"/>
        <rFont val="Arial"/>
      </rPr>
      <t xml:space="preserve"> × </t>
    </r>
    <r>
      <rPr>
        <sz val="10"/>
        <color rgb="FF0000FF"/>
        <rFont val="Arial"/>
      </rPr>
      <t>ADC_exh</t>
    </r>
  </si>
  <si>
    <r>
      <rPr>
        <i/>
        <sz val="10"/>
        <color rgb="FF000000"/>
        <rFont val="Arial"/>
      </rPr>
      <t>Limit</t>
    </r>
    <r>
      <rPr>
        <sz val="10"/>
        <color rgb="FF000000"/>
        <rFont val="Arial"/>
      </rPr>
      <t xml:space="preserve"> = </t>
    </r>
    <r>
      <rPr>
        <i/>
        <sz val="10"/>
        <color rgb="FF000000"/>
        <rFont val="Arial"/>
      </rPr>
      <t>Exhaust</t>
    </r>
    <r>
      <rPr>
        <sz val="10"/>
        <color rgb="FF000000"/>
        <rFont val="Arial"/>
      </rPr>
      <t xml:space="preserve"> − </t>
    </r>
    <r>
      <rPr>
        <i/>
        <sz val="10"/>
        <color rgb="FF000000"/>
        <rFont val="Arial"/>
      </rPr>
      <t>Attach</t>
    </r>
    <r>
      <rPr>
        <sz val="10"/>
        <color rgb="FF000000"/>
        <rFont val="Arial"/>
      </rPr>
      <t xml:space="preserve">   ,   </t>
    </r>
    <r>
      <rPr>
        <i/>
        <sz val="10"/>
        <color rgb="FF000000"/>
        <rFont val="Arial"/>
      </rPr>
      <t>Premium</t>
    </r>
    <r>
      <rPr>
        <sz val="10"/>
        <color rgb="FF000000"/>
        <rFont val="Arial"/>
      </rPr>
      <t xml:space="preserve"> = </t>
    </r>
    <r>
      <rPr>
        <i/>
        <sz val="10"/>
        <color rgb="FF000000"/>
        <rFont val="Arial"/>
      </rPr>
      <t>Limit</t>
    </r>
    <r>
      <rPr>
        <sz val="10"/>
        <color rgb="FF000000"/>
        <rFont val="Arial"/>
      </rPr>
      <t xml:space="preserve"> × </t>
    </r>
    <r>
      <rPr>
        <sz val="10"/>
        <color rgb="FF0000FF"/>
        <rFont val="Arial"/>
      </rPr>
      <t>ADC_rol</t>
    </r>
  </si>
  <si>
    <r>
      <rPr>
        <i/>
        <sz val="10"/>
        <color rgb="FF000000"/>
        <rFont val="Arial"/>
      </rPr>
      <t>Recovery</t>
    </r>
    <r>
      <rPr>
        <i/>
        <vertAlign val="subscript"/>
        <sz val="8"/>
        <color rgb="FF000000"/>
        <rFont val="Arial"/>
      </rPr>
      <t>i</t>
    </r>
    <r>
      <rPr>
        <sz val="10"/>
        <color rgb="FF000000"/>
        <rFont val="Arial"/>
      </rPr>
      <t xml:space="preserve"> = min</t>
    </r>
    <r>
      <rPr>
        <sz val="10"/>
        <color rgb="FF000000"/>
        <rFont val="Arial"/>
      </rPr>
      <t>(</t>
    </r>
    <r>
      <rPr>
        <sz val="10"/>
        <color rgb="FF000000"/>
        <rFont val="Arial"/>
      </rPr>
      <t>max(</t>
    </r>
    <r>
      <rPr>
        <i/>
        <sz val="10"/>
        <color rgb="FF000000"/>
        <rFont val="Arial"/>
      </rPr>
      <t>Reserve</t>
    </r>
    <r>
      <rPr>
        <sz val="10"/>
        <color rgb="FF000000"/>
        <rFont val="Arial"/>
      </rPr>
      <t>'</t>
    </r>
    <r>
      <rPr>
        <i/>
        <vertAlign val="subscript"/>
        <sz val="8"/>
        <color rgb="FF000000"/>
        <rFont val="Arial"/>
      </rPr>
      <t>i</t>
    </r>
    <r>
      <rPr>
        <sz val="10"/>
        <color rgb="FF000000"/>
        <rFont val="Arial"/>
      </rPr>
      <t xml:space="preserve"> − </t>
    </r>
    <r>
      <rPr>
        <i/>
        <sz val="10"/>
        <color rgb="FF000000"/>
        <rFont val="Arial"/>
      </rPr>
      <t>Attach</t>
    </r>
    <r>
      <rPr>
        <sz val="10"/>
        <color rgb="FF000000"/>
        <rFont val="Arial"/>
      </rPr>
      <t xml:space="preserve">, 0), </t>
    </r>
    <r>
      <rPr>
        <i/>
        <sz val="10"/>
        <color rgb="FF000000"/>
        <rFont val="Arial"/>
      </rPr>
      <t>Limit</t>
    </r>
    <r>
      <rPr>
        <sz val="10"/>
        <color rgb="FF000000"/>
        <rFont val="Arial"/>
      </rPr>
      <t>)</t>
    </r>
  </si>
  <si>
    <t>The uncorrected figure would deflate every Group C on-level premium before 2024 by the factor above, understating the on-level loss ratio and hence the a priori assumption. This implies that the correction is material and is not cosmetic.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</si>
</sst>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
    <numFmt numFmtId="166" formatCode="#,##0;\(#,##0\);\-"/>
    <numFmt numFmtId="167" formatCode="0.0000"/>
    <numFmt numFmtId="168" formatCode="0.0"/>
  </numFmts>
  <fonts count="18" x14ac:knownFonts="1">
    <font>
      <sz val="11"/>
      <color theme="1"/>
      <name val="Calibri"/>
      <family val="2"/>
      <charset val="1"/>
    </font>
    <font>
      <sz val="11"/>
      <color theme="1"/>
      <name val="Arial"/>
      <charset val="1"/>
    </font>
    <font>
      <b/>
      <sz val="14"/>
      <color rgb="FF1F3864"/>
      <name val="Arial"/>
      <charset val="1"/>
    </font>
    <font>
      <b/>
      <sz val="11"/>
      <color rgb="FF1F3864"/>
      <name val="Arial"/>
      <charset val="1"/>
    </font>
    <font>
      <i/>
      <sz val="9"/>
      <color rgb="FF595959"/>
      <name val="Arial"/>
      <charset val="1"/>
    </font>
    <font>
      <b/>
      <sz val="10"/>
      <color rgb="FF1F3864"/>
      <name val="Arial"/>
      <charset val="1"/>
    </font>
    <font>
      <sz val="10"/>
      <name val="Arial"/>
      <charset val="1"/>
    </font>
    <font>
      <b/>
      <sz val="10"/>
      <name val="Arial"/>
      <charset val="1"/>
    </font>
    <font>
      <sz val="10"/>
      <color rgb="FF0000FF"/>
      <name val="Arial"/>
      <charset val="1"/>
    </font>
    <font>
      <sz val="10"/>
      <color rgb="FF008000"/>
      <name val="Arial"/>
      <charset val="1"/>
    </font>
    <font>
      <b/>
      <sz val="10"/>
      <color rgb="FFFFFFFF"/>
      <name val="Arial"/>
      <charset val="1"/>
    </font>
    <font>
      <sz val="9"/>
      <color rgb="FFFFFFFF"/>
      <name val="Arial"/>
      <charset val="1"/>
    </font>
    <font>
      <i/>
      <sz val="10"/>
      <color rgb="FF000000"/>
      <name val="Arial"/>
    </font>
    <font>
      <sz val="10"/>
      <color rgb="FF000000"/>
      <name val="Arial"/>
    </font>
    <font>
      <i/>
      <sz val="9"/>
      <color rgb="FF595959"/>
      <name val="Arial"/>
    </font>
    <font>
      <i/>
      <vertAlign val="subscript"/>
      <sz val="8"/>
      <color rgb="FF000000"/>
      <name val="Arial"/>
    </font>
    <font>
      <sz val="10"/>
      <color rgb="FF0000FF"/>
      <name val="Arial"/>
    </font>
    <font>
      <i/>
      <vertAlign val="superscript"/>
      <sz val="8"/>
      <color rgb="FF000000"/>
      <name val="Arial"/>
    </font>
  </fonts>
  <fills count="8">
    <fill>
      <patternFill patternType="none"/>
    </fill>
    <fill>
      <patternFill patternType="gray125"/>
    </fill>
    <fill>
      <patternFill patternType="solid">
        <fgColor rgb="FFFFF2CC"/>
        <bgColor rgb="FFFCE4E4"/>
      </patternFill>
    </fill>
    <fill>
      <patternFill patternType="solid">
        <fgColor rgb="FFE2EFDA"/>
        <bgColor rgb="FFD9E2F3"/>
      </patternFill>
    </fill>
    <fill>
      <patternFill patternType="solid">
        <fgColor rgb="FFFCE4E4"/>
        <bgColor rgb="FFFFF2CC"/>
      </patternFill>
    </fill>
    <fill>
      <patternFill patternType="solid">
        <fgColor rgb="FF1F3864"/>
        <bgColor rgb="FF333399"/>
      </patternFill>
    </fill>
    <fill>
      <patternFill patternType="solid">
        <fgColor rgb="FFD9E2F3"/>
        <bgColor rgb="FFD9D9D9"/>
      </patternFill>
    </fill>
    <fill>
      <patternFill patternType="solid">
        <fgColor rgb="FFF2F5FA"/>
        <bgColor rgb="FFFFFFFF"/>
      </patternFill>
    </fill>
  </fills>
  <borders count="2">
    <border>
      <left/>
      <right/>
      <top/>
      <bottom/>
      <diagonal/>
    </border>
    <border>
      <left style="thin">
        <color rgb="FF8EA9DB"/>
      </left>
      <right style="thin">
        <color rgb="FF8EA9DB"/>
      </right>
      <top style="thin">
        <color rgb="FF8EA9DB"/>
      </top>
      <bottom style="thin">
        <color rgb="FF8EA9DB"/>
      </bottom>
      <diagonal/>
    </border>
  </borders>
  <cellStyleXfs count="1">
    <xf numFmtId="0" fontId="0" fillId="0" borderId="0"/>
  </cellStyleXfs>
  <cellXfs count="7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6" fillId="2" borderId="0" xfId="0" applyFont="1" applyFill="1"/>
    <xf numFmtId="0" fontId="6" fillId="3" borderId="0" xfId="0" applyFont="1" applyFill="1"/>
    <xf numFmtId="0" fontId="6" fillId="4" borderId="0" xfId="0" applyFont="1" applyFill="1"/>
    <xf numFmtId="0" fontId="10" fillId="5" borderId="1" xfId="0" applyFont="1" applyFill="1" applyBorder="1" applyAlignment="1">
      <alignment horizontal="center" vertical="center" wrapText="1"/>
    </xf>
    <xf numFmtId="0" fontId="7" fillId="0" borderId="1" xfId="0" applyFont="1" applyBorder="1" applyAlignment="1">
      <alignment horizontal="center"/>
    </xf>
    <xf numFmtId="164" fontId="8" fillId="0" borderId="1" xfId="0" applyNumberFormat="1" applyFont="1" applyBorder="1"/>
    <xf numFmtId="0" fontId="6" fillId="0" borderId="1" xfId="0" applyFont="1" applyBorder="1"/>
    <xf numFmtId="3" fontId="8" fillId="0" borderId="1" xfId="0" applyNumberFormat="1" applyFont="1" applyBorder="1"/>
    <xf numFmtId="165" fontId="8" fillId="0" borderId="1" xfId="0" applyNumberFormat="1" applyFont="1" applyBorder="1"/>
    <xf numFmtId="166" fontId="8" fillId="0" borderId="1" xfId="0" applyNumberFormat="1" applyFont="1" applyBorder="1"/>
    <xf numFmtId="164" fontId="9" fillId="0" borderId="1" xfId="0" applyNumberFormat="1" applyFont="1" applyBorder="1"/>
    <xf numFmtId="1" fontId="6" fillId="0" borderId="1" xfId="0" applyNumberFormat="1" applyFont="1" applyBorder="1" applyAlignment="1">
      <alignment horizontal="center"/>
    </xf>
    <xf numFmtId="164" fontId="6" fillId="0" borderId="1" xfId="0" applyNumberFormat="1" applyFont="1" applyBorder="1"/>
    <xf numFmtId="164" fontId="7" fillId="0" borderId="1" xfId="0" applyNumberFormat="1" applyFont="1" applyBorder="1"/>
    <xf numFmtId="0" fontId="4" fillId="0" borderId="1" xfId="0" applyFont="1" applyBorder="1"/>
    <xf numFmtId="166" fontId="4" fillId="0" borderId="1" xfId="0" applyNumberFormat="1" applyFont="1" applyBorder="1"/>
    <xf numFmtId="0" fontId="4" fillId="0" borderId="0" xfId="0" applyFont="1" applyAlignment="1">
      <alignment horizontal="center"/>
    </xf>
    <xf numFmtId="1" fontId="7" fillId="6" borderId="1" xfId="0" applyNumberFormat="1" applyFont="1" applyFill="1" applyBorder="1"/>
    <xf numFmtId="167" fontId="7" fillId="6" borderId="1" xfId="0" applyNumberFormat="1" applyFont="1" applyFill="1" applyBorder="1"/>
    <xf numFmtId="165" fontId="9" fillId="0" borderId="1" xfId="0" applyNumberFormat="1" applyFont="1" applyBorder="1"/>
    <xf numFmtId="165" fontId="7" fillId="0" borderId="1" xfId="0" applyNumberFormat="1" applyFont="1" applyBorder="1"/>
    <xf numFmtId="165" fontId="8" fillId="2" borderId="1" xfId="0" applyNumberFormat="1" applyFont="1" applyFill="1" applyBorder="1"/>
    <xf numFmtId="165" fontId="6" fillId="0" borderId="1" xfId="0" applyNumberFormat="1" applyFont="1" applyBorder="1"/>
    <xf numFmtId="0" fontId="10" fillId="5" borderId="0" xfId="0" applyFont="1" applyFill="1"/>
    <xf numFmtId="0" fontId="8" fillId="0" borderId="1" xfId="0" applyFont="1" applyBorder="1"/>
    <xf numFmtId="1" fontId="8" fillId="2" borderId="1" xfId="0" applyNumberFormat="1" applyFont="1" applyFill="1" applyBorder="1"/>
    <xf numFmtId="167" fontId="8" fillId="2" borderId="1" xfId="0" applyNumberFormat="1" applyFont="1" applyFill="1" applyBorder="1"/>
    <xf numFmtId="168" fontId="8" fillId="2" borderId="1" xfId="0" applyNumberFormat="1" applyFont="1" applyFill="1" applyBorder="1"/>
    <xf numFmtId="167" fontId="6" fillId="0" borderId="1" xfId="0" applyNumberFormat="1" applyFont="1" applyBorder="1"/>
    <xf numFmtId="0" fontId="7" fillId="3" borderId="1" xfId="0" applyFont="1" applyFill="1" applyBorder="1" applyAlignment="1">
      <alignment horizontal="center"/>
    </xf>
    <xf numFmtId="3" fontId="6" fillId="0" borderId="1" xfId="0" applyNumberFormat="1" applyFont="1" applyBorder="1" applyAlignment="1">
      <alignment horizontal="center"/>
    </xf>
    <xf numFmtId="167" fontId="9" fillId="0" borderId="1" xfId="0" applyNumberFormat="1" applyFont="1" applyBorder="1"/>
    <xf numFmtId="164" fontId="7" fillId="6" borderId="1" xfId="0" applyNumberFormat="1" applyFont="1" applyFill="1" applyBorder="1"/>
    <xf numFmtId="0" fontId="7" fillId="6" borderId="1" xfId="0" applyFont="1" applyFill="1" applyBorder="1"/>
    <xf numFmtId="165" fontId="7" fillId="6" borderId="1" xfId="0" applyNumberFormat="1" applyFont="1" applyFill="1" applyBorder="1"/>
    <xf numFmtId="0" fontId="7" fillId="0" borderId="1" xfId="0" applyFont="1" applyBorder="1"/>
    <xf numFmtId="1" fontId="7" fillId="0" borderId="1" xfId="0" applyNumberFormat="1" applyFont="1" applyBorder="1" applyAlignment="1">
      <alignment horizontal="center"/>
    </xf>
    <xf numFmtId="166" fontId="9" fillId="0" borderId="1" xfId="0" applyNumberFormat="1" applyFont="1" applyBorder="1"/>
    <xf numFmtId="1" fontId="7" fillId="0" borderId="1" xfId="0" applyNumberFormat="1" applyFont="1" applyBorder="1"/>
    <xf numFmtId="10" fontId="7" fillId="6" borderId="1" xfId="0" applyNumberFormat="1" applyFont="1" applyFill="1" applyBorder="1"/>
    <xf numFmtId="3" fontId="7" fillId="0" borderId="1" xfId="0" applyNumberFormat="1" applyFont="1" applyBorder="1"/>
    <xf numFmtId="10" fontId="7" fillId="0" borderId="1" xfId="0" applyNumberFormat="1" applyFont="1" applyBorder="1"/>
    <xf numFmtId="10" fontId="6" fillId="0" borderId="1" xfId="0" applyNumberFormat="1" applyFont="1" applyBorder="1"/>
    <xf numFmtId="167" fontId="7" fillId="2" borderId="1" xfId="0" applyNumberFormat="1" applyFont="1" applyFill="1" applyBorder="1"/>
    <xf numFmtId="10" fontId="9" fillId="0" borderId="1" xfId="0" applyNumberFormat="1" applyFont="1" applyBorder="1"/>
    <xf numFmtId="2" fontId="7" fillId="0" borderId="1" xfId="0" applyNumberFormat="1" applyFont="1" applyBorder="1"/>
    <xf numFmtId="1" fontId="9" fillId="0" borderId="1" xfId="0" applyNumberFormat="1" applyFont="1" applyBorder="1" applyAlignment="1">
      <alignment horizontal="center"/>
    </xf>
    <xf numFmtId="167" fontId="7" fillId="0" borderId="1" xfId="0" applyNumberFormat="1" applyFont="1" applyBorder="1"/>
    <xf numFmtId="0" fontId="10" fillId="5" borderId="1" xfId="0" applyFont="1" applyFill="1" applyBorder="1" applyAlignment="1">
      <alignment horizontal="center"/>
    </xf>
    <xf numFmtId="164" fontId="9" fillId="6" borderId="1" xfId="0" applyNumberFormat="1" applyFont="1" applyFill="1" applyBorder="1"/>
    <xf numFmtId="0" fontId="8" fillId="2" borderId="1" xfId="0" applyFont="1" applyFill="1" applyBorder="1"/>
    <xf numFmtId="0" fontId="11" fillId="0" borderId="0" xfId="0" applyFont="1"/>
    <xf numFmtId="10" fontId="8" fillId="0" borderId="1" xfId="0" applyNumberFormat="1" applyFont="1" applyBorder="1"/>
    <xf numFmtId="164" fontId="11" fillId="0" borderId="0" xfId="0" applyNumberFormat="1" applyFont="1"/>
    <xf numFmtId="3" fontId="7" fillId="0" borderId="1" xfId="0" applyNumberFormat="1" applyFont="1" applyBorder="1" applyAlignment="1">
      <alignment horizontal="center"/>
    </xf>
    <xf numFmtId="0" fontId="9" fillId="0" borderId="1" xfId="0" applyFont="1" applyBorder="1"/>
    <xf numFmtId="0" fontId="7" fillId="3" borderId="1" xfId="0" applyFont="1" applyFill="1" applyBorder="1"/>
    <xf numFmtId="0" fontId="4" fillId="0" borderId="0" xfId="0" applyFont="1" applyAlignment="1">
      <alignment vertical="top" wrapText="1"/>
    </xf>
    <xf numFmtId="0" fontId="6" fillId="0" borderId="0" xfId="0" applyFont="1" applyAlignment="1">
      <alignment vertical="top" wrapText="1"/>
    </xf>
    <xf numFmtId="0" fontId="6" fillId="7" borderId="0" xfId="0" applyFont="1" applyFill="1" applyAlignment="1">
      <alignment vertical="center" wrapText="1" indent="2"/>
    </xf>
  </cellXfs>
  <cellStyles count="1">
    <cellStyle name="Normal" xfId="0" builtinId="0"/>
  </cellStyles>
  <dxfs count="10">
    <dxf>
      <fill>
        <patternFill>
          <bgColor rgb="FFFFF2CC"/>
        </patternFill>
      </fill>
    </dxf>
    <dxf>
      <fill>
        <patternFill>
          <bgColor rgb="FFFFF2CC"/>
        </patternFill>
      </fill>
    </dxf>
    <dxf>
      <fill>
        <patternFill>
          <bgColor rgb="FFFFF2CC"/>
        </patternFill>
      </fill>
    </dxf>
    <dxf>
      <fill>
        <patternFill>
          <bgColor rgb="FFFCE4E4"/>
        </patternFill>
      </fill>
    </dxf>
    <dxf>
      <fill>
        <patternFill>
          <bgColor rgb="FFFCE4E4"/>
        </patternFill>
      </fill>
    </dxf>
    <dxf>
      <fill>
        <patternFill>
          <bgColor rgb="FFFCE4E4"/>
        </patternFill>
      </fill>
    </dxf>
    <dxf>
      <fill>
        <patternFill>
          <bgColor rgb="FFFCE4E4"/>
        </patternFill>
      </fill>
    </dxf>
    <dxf>
      <fill>
        <patternFill>
          <bgColor rgb="FFFCE4E4"/>
        </patternFill>
      </fill>
    </dxf>
    <dxf>
      <fill>
        <patternFill>
          <bgColor rgb="FFFCE4E4"/>
        </patternFill>
      </fill>
    </dxf>
    <dxf>
      <fill>
        <patternFill>
          <bgColor rgb="FFFCE4E4"/>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0AD47"/>
      <rgbColor rgb="FF800080"/>
      <rgbColor rgb="FF4F81BD"/>
      <rgbColor rgb="FF9BBB59"/>
      <rgbColor rgb="FF808080"/>
      <rgbColor rgb="FF8EA9DB"/>
      <rgbColor rgb="FFBE4B48"/>
      <rgbColor rgb="FFFFF2CC"/>
      <rgbColor rgb="FFF2F5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E2EFDA"/>
      <rgbColor rgb="FFFFFF99"/>
      <rgbColor rgb="FF99CCFF"/>
      <rgbColor rgb="FFFF99CC"/>
      <rgbColor rgb="FFCC99FF"/>
      <rgbColor rgb="FFFCE4E4"/>
      <rgbColor rgb="FF4472C4"/>
      <rgbColor rgb="FF46AAC4"/>
      <rgbColor rgb="FF98B855"/>
      <rgbColor rgb="FFFFCC00"/>
      <rgbColor rgb="FFF59240"/>
      <rgbColor rgb="FFED7D31"/>
      <rgbColor rgb="FF7D5FA0"/>
      <rgbColor rgb="FF878787"/>
      <rgbColor rgb="FF1F3864"/>
      <rgbColor rgb="FF4A7EBB"/>
      <rgbColor rgb="FF003300"/>
      <rgbColor rgb="FF333300"/>
      <rgbColor rgb="FFC0504D"/>
      <rgbColor rgb="FF7030A0"/>
      <rgbColor rgb="FF333399"/>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Portfolio reserve against additional claims inflation, by basis</a:t>
            </a:r>
          </a:p>
        </c:rich>
      </c:tx>
      <c:overlay val="0"/>
      <c:spPr>
        <a:noFill/>
        <a:ln w="0">
          <a:noFill/>
        </a:ln>
      </c:spPr>
    </c:title>
    <c:autoTitleDeleted val="0"/>
    <c:plotArea>
      <c:layout/>
      <c:lineChart>
        <c:grouping val="standard"/>
        <c:varyColors val="0"/>
        <c:ser>
          <c:idx val="0"/>
          <c:order val="0"/>
          <c:tx>
            <c:strRef>
              <c:f>ADC!$C$38</c:f>
              <c:strCache>
                <c:ptCount val="1"/>
                <c:pt idx="0">
                  <c:v>Chain Ladder reserve (£000)</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ADC!$B$39:$B$87</c:f>
              <c:numCache>
                <c:formatCode>0.00%</c:formatCode>
                <c:ptCount val="49"/>
                <c:pt idx="0">
                  <c:v>0</c:v>
                </c:pt>
                <c:pt idx="1">
                  <c:v>2.5000000000000001E-3</c:v>
                </c:pt>
                <c:pt idx="2">
                  <c:v>5.0000000000000001E-3</c:v>
                </c:pt>
                <c:pt idx="3">
                  <c:v>7.4999999999999997E-3</c:v>
                </c:pt>
                <c:pt idx="4">
                  <c:v>0.01</c:v>
                </c:pt>
                <c:pt idx="5">
                  <c:v>1.2500000000000001E-2</c:v>
                </c:pt>
                <c:pt idx="6">
                  <c:v>1.4999999999999999E-2</c:v>
                </c:pt>
                <c:pt idx="7">
                  <c:v>1.7500000000000002E-2</c:v>
                </c:pt>
                <c:pt idx="8">
                  <c:v>0.02</c:v>
                </c:pt>
                <c:pt idx="9">
                  <c:v>2.2499999999999999E-2</c:v>
                </c:pt>
                <c:pt idx="10">
                  <c:v>2.5000000000000001E-2</c:v>
                </c:pt>
                <c:pt idx="11">
                  <c:v>2.75E-2</c:v>
                </c:pt>
                <c:pt idx="12">
                  <c:v>0.03</c:v>
                </c:pt>
                <c:pt idx="13">
                  <c:v>3.2500000000000001E-2</c:v>
                </c:pt>
                <c:pt idx="14">
                  <c:v>3.5000000000000003E-2</c:v>
                </c:pt>
                <c:pt idx="15">
                  <c:v>3.7499999999999999E-2</c:v>
                </c:pt>
                <c:pt idx="16">
                  <c:v>0.04</c:v>
                </c:pt>
                <c:pt idx="17">
                  <c:v>4.2500000000000003E-2</c:v>
                </c:pt>
                <c:pt idx="18">
                  <c:v>4.4999999999999998E-2</c:v>
                </c:pt>
                <c:pt idx="19">
                  <c:v>4.7500000000000001E-2</c:v>
                </c:pt>
                <c:pt idx="20">
                  <c:v>0.05</c:v>
                </c:pt>
                <c:pt idx="21">
                  <c:v>5.2499999999999998E-2</c:v>
                </c:pt>
                <c:pt idx="22">
                  <c:v>5.5E-2</c:v>
                </c:pt>
                <c:pt idx="23">
                  <c:v>5.7500000000000002E-2</c:v>
                </c:pt>
                <c:pt idx="24">
                  <c:v>0.06</c:v>
                </c:pt>
                <c:pt idx="25">
                  <c:v>6.25E-2</c:v>
                </c:pt>
                <c:pt idx="26">
                  <c:v>6.5000000000000002E-2</c:v>
                </c:pt>
                <c:pt idx="27">
                  <c:v>6.7500000000000004E-2</c:v>
                </c:pt>
                <c:pt idx="28">
                  <c:v>7.0000000000000007E-2</c:v>
                </c:pt>
                <c:pt idx="29">
                  <c:v>7.2499999999999995E-2</c:v>
                </c:pt>
                <c:pt idx="30">
                  <c:v>7.4999999999999997E-2</c:v>
                </c:pt>
                <c:pt idx="31">
                  <c:v>7.7499999999999999E-2</c:v>
                </c:pt>
                <c:pt idx="32">
                  <c:v>0.08</c:v>
                </c:pt>
                <c:pt idx="33">
                  <c:v>8.2500000000000004E-2</c:v>
                </c:pt>
                <c:pt idx="34">
                  <c:v>8.5000000000000006E-2</c:v>
                </c:pt>
                <c:pt idx="35">
                  <c:v>8.7499999999999994E-2</c:v>
                </c:pt>
                <c:pt idx="36">
                  <c:v>0.09</c:v>
                </c:pt>
                <c:pt idx="37">
                  <c:v>9.2499999999999999E-2</c:v>
                </c:pt>
                <c:pt idx="38">
                  <c:v>9.5000000000000001E-2</c:v>
                </c:pt>
                <c:pt idx="39">
                  <c:v>9.7500000000000003E-2</c:v>
                </c:pt>
                <c:pt idx="40">
                  <c:v>0.1</c:v>
                </c:pt>
                <c:pt idx="41">
                  <c:v>0.10249999999999999</c:v>
                </c:pt>
                <c:pt idx="42">
                  <c:v>0.105</c:v>
                </c:pt>
                <c:pt idx="43">
                  <c:v>0.1075</c:v>
                </c:pt>
                <c:pt idx="44">
                  <c:v>0.11</c:v>
                </c:pt>
                <c:pt idx="45">
                  <c:v>0.1125</c:v>
                </c:pt>
                <c:pt idx="46">
                  <c:v>0.115</c:v>
                </c:pt>
                <c:pt idx="47">
                  <c:v>0.11749999999999999</c:v>
                </c:pt>
                <c:pt idx="48">
                  <c:v>0.12</c:v>
                </c:pt>
              </c:numCache>
            </c:numRef>
          </c:cat>
          <c:val>
            <c:numRef>
              <c:f>ADC!$C$39:$C$87</c:f>
              <c:numCache>
                <c:formatCode>#,##0.0;\(#,##0.0\);\-</c:formatCode>
                <c:ptCount val="49"/>
                <c:pt idx="0">
                  <c:v>11582.846148383751</c:v>
                </c:pt>
                <c:pt idx="1">
                  <c:v>11649.10238174286</c:v>
                </c:pt>
                <c:pt idx="2">
                  <c:v>11715.574803423955</c:v>
                </c:pt>
                <c:pt idx="3">
                  <c:v>11782.263600255672</c:v>
                </c:pt>
                <c:pt idx="4">
                  <c:v>11849.168958840346</c:v>
                </c:pt>
                <c:pt idx="5">
                  <c:v>11916.291065554955</c:v>
                </c:pt>
                <c:pt idx="6">
                  <c:v>11983.630106551966</c:v>
                </c:pt>
                <c:pt idx="7">
                  <c:v>12051.186267760242</c:v>
                </c:pt>
                <c:pt idx="8">
                  <c:v>12118.959734885922</c:v>
                </c:pt>
                <c:pt idx="9">
                  <c:v>12186.950693413284</c:v>
                </c:pt>
                <c:pt idx="10">
                  <c:v>12255.159328605627</c:v>
                </c:pt>
                <c:pt idx="11">
                  <c:v>12323.585825506128</c:v>
                </c:pt>
                <c:pt idx="12">
                  <c:v>12392.230368938683</c:v>
                </c:pt>
                <c:pt idx="13">
                  <c:v>12461.093143508788</c:v>
                </c:pt>
                <c:pt idx="14">
                  <c:v>12530.174333604369</c:v>
                </c:pt>
                <c:pt idx="15">
                  <c:v>12599.474123396629</c:v>
                </c:pt>
                <c:pt idx="16">
                  <c:v>12668.992696840862</c:v>
                </c:pt>
                <c:pt idx="17">
                  <c:v>12738.730237677319</c:v>
                </c:pt>
                <c:pt idx="18">
                  <c:v>12808.686929432009</c:v>
                </c:pt>
                <c:pt idx="19">
                  <c:v>12878.862955417531</c:v>
                </c:pt>
                <c:pt idx="20">
                  <c:v>12949.258498733871</c:v>
                </c:pt>
                <c:pt idx="21">
                  <c:v>13019.873742269232</c:v>
                </c:pt>
                <c:pt idx="22">
                  <c:v>13090.708868700836</c:v>
                </c:pt>
                <c:pt idx="23">
                  <c:v>13161.764060495716</c:v>
                </c:pt>
                <c:pt idx="24">
                  <c:v>13233.039499911501</c:v>
                </c:pt>
                <c:pt idx="25">
                  <c:v>13304.535368997233</c:v>
                </c:pt>
                <c:pt idx="26">
                  <c:v>13376.251849594133</c:v>
                </c:pt>
                <c:pt idx="27">
                  <c:v>13448.189123336389</c:v>
                </c:pt>
                <c:pt idx="28">
                  <c:v>13520.347371651929</c:v>
                </c:pt>
                <c:pt idx="29">
                  <c:v>13592.726775763182</c:v>
                </c:pt>
                <c:pt idx="30">
                  <c:v>13665.327516687856</c:v>
                </c:pt>
                <c:pt idx="31">
                  <c:v>13738.149775239706</c:v>
                </c:pt>
                <c:pt idx="32">
                  <c:v>13811.19373202928</c:v>
                </c:pt>
                <c:pt idx="33">
                  <c:v>13884.45956746465</c:v>
                </c:pt>
                <c:pt idx="34">
                  <c:v>13957.94746175221</c:v>
                </c:pt>
                <c:pt idx="35">
                  <c:v>14031.657594897379</c:v>
                </c:pt>
                <c:pt idx="36">
                  <c:v>14105.590146705355</c:v>
                </c:pt>
                <c:pt idx="37">
                  <c:v>14179.745296781834</c:v>
                </c:pt>
                <c:pt idx="38">
                  <c:v>14254.123224533765</c:v>
                </c:pt>
                <c:pt idx="39">
                  <c:v>14328.724109170056</c:v>
                </c:pt>
                <c:pt idx="40">
                  <c:v>14403.548129702314</c:v>
                </c:pt>
                <c:pt idx="41">
                  <c:v>14478.59546494552</c:v>
                </c:pt>
                <c:pt idx="42">
                  <c:v>14553.866293518789</c:v>
                </c:pt>
                <c:pt idx="43">
                  <c:v>14629.360793846066</c:v>
                </c:pt>
                <c:pt idx="44">
                  <c:v>14705.07914415682</c:v>
                </c:pt>
                <c:pt idx="45">
                  <c:v>14781.021522486728</c:v>
                </c:pt>
                <c:pt idx="46">
                  <c:v>14857.188106678415</c:v>
                </c:pt>
                <c:pt idx="47">
                  <c:v>14933.579074382105</c:v>
                </c:pt>
                <c:pt idx="48">
                  <c:v>15010.194603056345</c:v>
                </c:pt>
              </c:numCache>
            </c:numRef>
          </c:val>
          <c:smooth val="1"/>
          <c:extLst>
            <c:ext xmlns:c16="http://schemas.microsoft.com/office/drawing/2014/chart" uri="{C3380CC4-5D6E-409C-BE32-E72D297353CC}">
              <c16:uniqueId val="{00000000-F58E-408D-855E-039ACF999F99}"/>
            </c:ext>
          </c:extLst>
        </c:ser>
        <c:ser>
          <c:idx val="1"/>
          <c:order val="1"/>
          <c:tx>
            <c:strRef>
              <c:f>ADC!$D$38</c:f>
              <c:strCache>
                <c:ptCount val="1"/>
                <c:pt idx="0">
                  <c:v>Expected Claims reserve (£000)</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ADC!$B$39:$B$87</c:f>
              <c:numCache>
                <c:formatCode>0.00%</c:formatCode>
                <c:ptCount val="49"/>
                <c:pt idx="0">
                  <c:v>0</c:v>
                </c:pt>
                <c:pt idx="1">
                  <c:v>2.5000000000000001E-3</c:v>
                </c:pt>
                <c:pt idx="2">
                  <c:v>5.0000000000000001E-3</c:v>
                </c:pt>
                <c:pt idx="3">
                  <c:v>7.4999999999999997E-3</c:v>
                </c:pt>
                <c:pt idx="4">
                  <c:v>0.01</c:v>
                </c:pt>
                <c:pt idx="5">
                  <c:v>1.2500000000000001E-2</c:v>
                </c:pt>
                <c:pt idx="6">
                  <c:v>1.4999999999999999E-2</c:v>
                </c:pt>
                <c:pt idx="7">
                  <c:v>1.7500000000000002E-2</c:v>
                </c:pt>
                <c:pt idx="8">
                  <c:v>0.02</c:v>
                </c:pt>
                <c:pt idx="9">
                  <c:v>2.2499999999999999E-2</c:v>
                </c:pt>
                <c:pt idx="10">
                  <c:v>2.5000000000000001E-2</c:v>
                </c:pt>
                <c:pt idx="11">
                  <c:v>2.75E-2</c:v>
                </c:pt>
                <c:pt idx="12">
                  <c:v>0.03</c:v>
                </c:pt>
                <c:pt idx="13">
                  <c:v>3.2500000000000001E-2</c:v>
                </c:pt>
                <c:pt idx="14">
                  <c:v>3.5000000000000003E-2</c:v>
                </c:pt>
                <c:pt idx="15">
                  <c:v>3.7499999999999999E-2</c:v>
                </c:pt>
                <c:pt idx="16">
                  <c:v>0.04</c:v>
                </c:pt>
                <c:pt idx="17">
                  <c:v>4.2500000000000003E-2</c:v>
                </c:pt>
                <c:pt idx="18">
                  <c:v>4.4999999999999998E-2</c:v>
                </c:pt>
                <c:pt idx="19">
                  <c:v>4.7500000000000001E-2</c:v>
                </c:pt>
                <c:pt idx="20">
                  <c:v>0.05</c:v>
                </c:pt>
                <c:pt idx="21">
                  <c:v>5.2499999999999998E-2</c:v>
                </c:pt>
                <c:pt idx="22">
                  <c:v>5.5E-2</c:v>
                </c:pt>
                <c:pt idx="23">
                  <c:v>5.7500000000000002E-2</c:v>
                </c:pt>
                <c:pt idx="24">
                  <c:v>0.06</c:v>
                </c:pt>
                <c:pt idx="25">
                  <c:v>6.25E-2</c:v>
                </c:pt>
                <c:pt idx="26">
                  <c:v>6.5000000000000002E-2</c:v>
                </c:pt>
                <c:pt idx="27">
                  <c:v>6.7500000000000004E-2</c:v>
                </c:pt>
                <c:pt idx="28">
                  <c:v>7.0000000000000007E-2</c:v>
                </c:pt>
                <c:pt idx="29">
                  <c:v>7.2499999999999995E-2</c:v>
                </c:pt>
                <c:pt idx="30">
                  <c:v>7.4999999999999997E-2</c:v>
                </c:pt>
                <c:pt idx="31">
                  <c:v>7.7499999999999999E-2</c:v>
                </c:pt>
                <c:pt idx="32">
                  <c:v>0.08</c:v>
                </c:pt>
                <c:pt idx="33">
                  <c:v>8.2500000000000004E-2</c:v>
                </c:pt>
                <c:pt idx="34">
                  <c:v>8.5000000000000006E-2</c:v>
                </c:pt>
                <c:pt idx="35">
                  <c:v>8.7499999999999994E-2</c:v>
                </c:pt>
                <c:pt idx="36">
                  <c:v>0.09</c:v>
                </c:pt>
                <c:pt idx="37">
                  <c:v>9.2499999999999999E-2</c:v>
                </c:pt>
                <c:pt idx="38">
                  <c:v>9.5000000000000001E-2</c:v>
                </c:pt>
                <c:pt idx="39">
                  <c:v>9.7500000000000003E-2</c:v>
                </c:pt>
                <c:pt idx="40">
                  <c:v>0.1</c:v>
                </c:pt>
                <c:pt idx="41">
                  <c:v>0.10249999999999999</c:v>
                </c:pt>
                <c:pt idx="42">
                  <c:v>0.105</c:v>
                </c:pt>
                <c:pt idx="43">
                  <c:v>0.1075</c:v>
                </c:pt>
                <c:pt idx="44">
                  <c:v>0.11</c:v>
                </c:pt>
                <c:pt idx="45">
                  <c:v>0.1125</c:v>
                </c:pt>
                <c:pt idx="46">
                  <c:v>0.115</c:v>
                </c:pt>
                <c:pt idx="47">
                  <c:v>0.11749999999999999</c:v>
                </c:pt>
                <c:pt idx="48">
                  <c:v>0.12</c:v>
                </c:pt>
              </c:numCache>
            </c:numRef>
          </c:cat>
          <c:val>
            <c:numRef>
              <c:f>ADC!$D$39:$D$87</c:f>
              <c:numCache>
                <c:formatCode>#,##0.0;\(#,##0.0\);\-</c:formatCode>
                <c:ptCount val="49"/>
                <c:pt idx="0">
                  <c:v>11330.659886061856</c:v>
                </c:pt>
                <c:pt idx="1">
                  <c:v>11395.307931754865</c:v>
                </c:pt>
                <c:pt idx="2">
                  <c:v>11460.166163360245</c:v>
                </c:pt>
                <c:pt idx="3">
                  <c:v>11525.23476081041</c:v>
                </c:pt>
                <c:pt idx="4">
                  <c:v>11590.51390381945</c:v>
                </c:pt>
                <c:pt idx="5">
                  <c:v>11656.003771884007</c:v>
                </c:pt>
                <c:pt idx="6">
                  <c:v>11721.70454428413</c:v>
                </c:pt>
                <c:pt idx="7">
                  <c:v>11787.616400084127</c:v>
                </c:pt>
                <c:pt idx="8">
                  <c:v>11853.739518133394</c:v>
                </c:pt>
                <c:pt idx="9">
                  <c:v>11920.074077067273</c:v>
                </c:pt>
                <c:pt idx="10">
                  <c:v>11986.620255307877</c:v>
                </c:pt>
                <c:pt idx="11">
                  <c:v>12053.378231064931</c:v>
                </c:pt>
                <c:pt idx="12">
                  <c:v>12120.348182336566</c:v>
                </c:pt>
                <c:pt idx="13">
                  <c:v>12187.530286910172</c:v>
                </c:pt>
                <c:pt idx="14">
                  <c:v>12254.924722363197</c:v>
                </c:pt>
                <c:pt idx="15">
                  <c:v>12322.531666063951</c:v>
                </c:pt>
                <c:pt idx="16">
                  <c:v>12390.351295172401</c:v>
                </c:pt>
                <c:pt idx="17">
                  <c:v>12458.383786640999</c:v>
                </c:pt>
                <c:pt idx="18">
                  <c:v>12526.629317215446</c:v>
                </c:pt>
                <c:pt idx="19">
                  <c:v>12595.088063435496</c:v>
                </c:pt>
                <c:pt idx="20">
                  <c:v>12663.760201635721</c:v>
                </c:pt>
                <c:pt idx="21">
                  <c:v>12732.645907946317</c:v>
                </c:pt>
                <c:pt idx="22">
                  <c:v>12801.745358293852</c:v>
                </c:pt>
                <c:pt idx="23">
                  <c:v>12871.058728402055</c:v>
                </c:pt>
                <c:pt idx="24">
                  <c:v>12940.586193792553</c:v>
                </c:pt>
                <c:pt idx="25">
                  <c:v>13010.327929785657</c:v>
                </c:pt>
                <c:pt idx="26">
                  <c:v>13080.284111501111</c:v>
                </c:pt>
                <c:pt idx="27">
                  <c:v>13150.454913858826</c:v>
                </c:pt>
                <c:pt idx="28">
                  <c:v>13220.840511579656</c:v>
                </c:pt>
                <c:pt idx="29">
                  <c:v>13291.441079186083</c:v>
                </c:pt>
                <c:pt idx="30">
                  <c:v>13362.256791003027</c:v>
                </c:pt>
                <c:pt idx="31">
                  <c:v>13433.287821158523</c:v>
                </c:pt>
                <c:pt idx="32">
                  <c:v>13504.534343584473</c:v>
                </c:pt>
                <c:pt idx="33">
                  <c:v>13575.996532017345</c:v>
                </c:pt>
                <c:pt idx="34">
                  <c:v>13647.67455999893</c:v>
                </c:pt>
                <c:pt idx="35">
                  <c:v>13719.568600877023</c:v>
                </c:pt>
                <c:pt idx="36">
                  <c:v>13791.678827806154</c:v>
                </c:pt>
                <c:pt idx="37">
                  <c:v>13864.005413748266</c:v>
                </c:pt>
                <c:pt idx="38">
                  <c:v>13936.548531473449</c:v>
                </c:pt>
                <c:pt idx="39">
                  <c:v>14009.308353560626</c:v>
                </c:pt>
                <c:pt idx="40">
                  <c:v>14082.285052398245</c:v>
                </c:pt>
                <c:pt idx="41">
                  <c:v>14155.478800184948</c:v>
                </c:pt>
                <c:pt idx="42">
                  <c:v>14228.889768930294</c:v>
                </c:pt>
                <c:pt idx="43">
                  <c:v>14302.518130455417</c:v>
                </c:pt>
                <c:pt idx="44">
                  <c:v>14376.36405639371</c:v>
                </c:pt>
                <c:pt idx="45">
                  <c:v>14450.427718191484</c:v>
                </c:pt>
                <c:pt idx="46">
                  <c:v>14524.709287108652</c:v>
                </c:pt>
                <c:pt idx="47">
                  <c:v>14599.208934219398</c:v>
                </c:pt>
                <c:pt idx="48">
                  <c:v>14673.926830412833</c:v>
                </c:pt>
              </c:numCache>
            </c:numRef>
          </c:val>
          <c:smooth val="1"/>
          <c:extLst>
            <c:ext xmlns:c16="http://schemas.microsoft.com/office/drawing/2014/chart" uri="{C3380CC4-5D6E-409C-BE32-E72D297353CC}">
              <c16:uniqueId val="{00000001-F58E-408D-855E-039ACF999F99}"/>
            </c:ext>
          </c:extLst>
        </c:ser>
        <c:ser>
          <c:idx val="2"/>
          <c:order val="2"/>
          <c:tx>
            <c:strRef>
              <c:f>ADC!$E$38</c:f>
              <c:strCache>
                <c:ptCount val="1"/>
                <c:pt idx="0">
                  <c:v>Bornhuetter-Ferguson reserve (£000)</c:v>
                </c:pt>
              </c:strCache>
            </c:strRef>
          </c:tx>
          <c:spPr>
            <a:ln w="28440">
              <a:solidFill>
                <a:srgbClr val="98B855"/>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ADC!$B$39:$B$87</c:f>
              <c:numCache>
                <c:formatCode>0.00%</c:formatCode>
                <c:ptCount val="49"/>
                <c:pt idx="0">
                  <c:v>0</c:v>
                </c:pt>
                <c:pt idx="1">
                  <c:v>2.5000000000000001E-3</c:v>
                </c:pt>
                <c:pt idx="2">
                  <c:v>5.0000000000000001E-3</c:v>
                </c:pt>
                <c:pt idx="3">
                  <c:v>7.4999999999999997E-3</c:v>
                </c:pt>
                <c:pt idx="4">
                  <c:v>0.01</c:v>
                </c:pt>
                <c:pt idx="5">
                  <c:v>1.2500000000000001E-2</c:v>
                </c:pt>
                <c:pt idx="6">
                  <c:v>1.4999999999999999E-2</c:v>
                </c:pt>
                <c:pt idx="7">
                  <c:v>1.7500000000000002E-2</c:v>
                </c:pt>
                <c:pt idx="8">
                  <c:v>0.02</c:v>
                </c:pt>
                <c:pt idx="9">
                  <c:v>2.2499999999999999E-2</c:v>
                </c:pt>
                <c:pt idx="10">
                  <c:v>2.5000000000000001E-2</c:v>
                </c:pt>
                <c:pt idx="11">
                  <c:v>2.75E-2</c:v>
                </c:pt>
                <c:pt idx="12">
                  <c:v>0.03</c:v>
                </c:pt>
                <c:pt idx="13">
                  <c:v>3.2500000000000001E-2</c:v>
                </c:pt>
                <c:pt idx="14">
                  <c:v>3.5000000000000003E-2</c:v>
                </c:pt>
                <c:pt idx="15">
                  <c:v>3.7499999999999999E-2</c:v>
                </c:pt>
                <c:pt idx="16">
                  <c:v>0.04</c:v>
                </c:pt>
                <c:pt idx="17">
                  <c:v>4.2500000000000003E-2</c:v>
                </c:pt>
                <c:pt idx="18">
                  <c:v>4.4999999999999998E-2</c:v>
                </c:pt>
                <c:pt idx="19">
                  <c:v>4.7500000000000001E-2</c:v>
                </c:pt>
                <c:pt idx="20">
                  <c:v>0.05</c:v>
                </c:pt>
                <c:pt idx="21">
                  <c:v>5.2499999999999998E-2</c:v>
                </c:pt>
                <c:pt idx="22">
                  <c:v>5.5E-2</c:v>
                </c:pt>
                <c:pt idx="23">
                  <c:v>5.7500000000000002E-2</c:v>
                </c:pt>
                <c:pt idx="24">
                  <c:v>0.06</c:v>
                </c:pt>
                <c:pt idx="25">
                  <c:v>6.25E-2</c:v>
                </c:pt>
                <c:pt idx="26">
                  <c:v>6.5000000000000002E-2</c:v>
                </c:pt>
                <c:pt idx="27">
                  <c:v>6.7500000000000004E-2</c:v>
                </c:pt>
                <c:pt idx="28">
                  <c:v>7.0000000000000007E-2</c:v>
                </c:pt>
                <c:pt idx="29">
                  <c:v>7.2499999999999995E-2</c:v>
                </c:pt>
                <c:pt idx="30">
                  <c:v>7.4999999999999997E-2</c:v>
                </c:pt>
                <c:pt idx="31">
                  <c:v>7.7499999999999999E-2</c:v>
                </c:pt>
                <c:pt idx="32">
                  <c:v>0.08</c:v>
                </c:pt>
                <c:pt idx="33">
                  <c:v>8.2500000000000004E-2</c:v>
                </c:pt>
                <c:pt idx="34">
                  <c:v>8.5000000000000006E-2</c:v>
                </c:pt>
                <c:pt idx="35">
                  <c:v>8.7499999999999994E-2</c:v>
                </c:pt>
                <c:pt idx="36">
                  <c:v>0.09</c:v>
                </c:pt>
                <c:pt idx="37">
                  <c:v>9.2499999999999999E-2</c:v>
                </c:pt>
                <c:pt idx="38">
                  <c:v>9.5000000000000001E-2</c:v>
                </c:pt>
                <c:pt idx="39">
                  <c:v>9.7500000000000003E-2</c:v>
                </c:pt>
                <c:pt idx="40">
                  <c:v>0.1</c:v>
                </c:pt>
                <c:pt idx="41">
                  <c:v>0.10249999999999999</c:v>
                </c:pt>
                <c:pt idx="42">
                  <c:v>0.105</c:v>
                </c:pt>
                <c:pt idx="43">
                  <c:v>0.1075</c:v>
                </c:pt>
                <c:pt idx="44">
                  <c:v>0.11</c:v>
                </c:pt>
                <c:pt idx="45">
                  <c:v>0.1125</c:v>
                </c:pt>
                <c:pt idx="46">
                  <c:v>0.115</c:v>
                </c:pt>
                <c:pt idx="47">
                  <c:v>0.11749999999999999</c:v>
                </c:pt>
                <c:pt idx="48">
                  <c:v>0.12</c:v>
                </c:pt>
              </c:numCache>
            </c:numRef>
          </c:cat>
          <c:val>
            <c:numRef>
              <c:f>ADC!$E$39:$E$87</c:f>
              <c:numCache>
                <c:formatCode>#,##0.0;\(#,##0.0\);\-</c:formatCode>
                <c:ptCount val="49"/>
                <c:pt idx="0">
                  <c:v>11660.757814808516</c:v>
                </c:pt>
                <c:pt idx="1">
                  <c:v>11727.543531332429</c:v>
                </c:pt>
                <c:pt idx="2">
                  <c:v>11794.547671188575</c:v>
                </c:pt>
                <c:pt idx="3">
                  <c:v>11861.770424861943</c:v>
                </c:pt>
                <c:pt idx="4">
                  <c:v>11929.211982607505</c:v>
                </c:pt>
                <c:pt idx="5">
                  <c:v>11996.872534451173</c:v>
                </c:pt>
                <c:pt idx="6">
                  <c:v>12064.752270190671</c:v>
                </c:pt>
                <c:pt idx="7">
                  <c:v>12132.851379396448</c:v>
                </c:pt>
                <c:pt idx="8">
                  <c:v>12201.170051412551</c:v>
                </c:pt>
                <c:pt idx="9">
                  <c:v>12269.708475357531</c:v>
                </c:pt>
                <c:pt idx="10">
                  <c:v>12338.466840125315</c:v>
                </c:pt>
                <c:pt idx="11">
                  <c:v>12407.445334386091</c:v>
                </c:pt>
                <c:pt idx="12">
                  <c:v>12476.644146587147</c:v>
                </c:pt>
                <c:pt idx="13">
                  <c:v>12546.063464953771</c:v>
                </c:pt>
                <c:pt idx="14">
                  <c:v>12615.703477490097</c:v>
                </c:pt>
                <c:pt idx="15">
                  <c:v>12685.564371979952</c:v>
                </c:pt>
                <c:pt idx="16">
                  <c:v>12755.646335987694</c:v>
                </c:pt>
                <c:pt idx="17">
                  <c:v>12825.949556859085</c:v>
                </c:pt>
                <c:pt idx="18">
                  <c:v>12896.474221722103</c:v>
                </c:pt>
                <c:pt idx="19">
                  <c:v>12967.220517487785</c:v>
                </c:pt>
                <c:pt idx="20">
                  <c:v>13038.188630851035</c:v>
                </c:pt>
                <c:pt idx="21">
                  <c:v>13109.37874829147</c:v>
                </c:pt>
                <c:pt idx="22">
                  <c:v>13180.791056074229</c:v>
                </c:pt>
                <c:pt idx="23">
                  <c:v>13252.425740250781</c:v>
                </c:pt>
                <c:pt idx="24">
                  <c:v>13324.282986659715</c:v>
                </c:pt>
                <c:pt idx="25">
                  <c:v>13396.36298092757</c:v>
                </c:pt>
                <c:pt idx="26">
                  <c:v>13468.665908469626</c:v>
                </c:pt>
                <c:pt idx="27">
                  <c:v>13541.19195449067</c:v>
                </c:pt>
                <c:pt idx="28">
                  <c:v>13613.941303985823</c:v>
                </c:pt>
                <c:pt idx="29">
                  <c:v>13686.914141741265</c:v>
                </c:pt>
                <c:pt idx="30">
                  <c:v>13760.110652335077</c:v>
                </c:pt>
                <c:pt idx="31">
                  <c:v>13833.531020137969</c:v>
                </c:pt>
                <c:pt idx="32">
                  <c:v>13907.175429314073</c:v>
                </c:pt>
                <c:pt idx="33">
                  <c:v>13981.044063821666</c:v>
                </c:pt>
                <c:pt idx="34">
                  <c:v>14055.137107413988</c:v>
                </c:pt>
                <c:pt idx="35">
                  <c:v>14129.454743639941</c:v>
                </c:pt>
                <c:pt idx="36">
                  <c:v>14203.997155844878</c:v>
                </c:pt>
                <c:pt idx="37">
                  <c:v>14278.764527171312</c:v>
                </c:pt>
                <c:pt idx="38">
                  <c:v>14353.757040559689</c:v>
                </c:pt>
                <c:pt idx="39">
                  <c:v>14428.974878749101</c:v>
                </c:pt>
                <c:pt idx="40">
                  <c:v>14504.418224278044</c:v>
                </c:pt>
                <c:pt idx="41">
                  <c:v>14580.087259485097</c:v>
                </c:pt>
                <c:pt idx="42">
                  <c:v>14655.982166509693</c:v>
                </c:pt>
                <c:pt idx="43">
                  <c:v>14732.103127292827</c:v>
                </c:pt>
                <c:pt idx="44">
                  <c:v>14808.45032357775</c:v>
                </c:pt>
                <c:pt idx="45">
                  <c:v>14885.023936910689</c:v>
                </c:pt>
                <c:pt idx="46">
                  <c:v>14961.824148641565</c:v>
                </c:pt>
                <c:pt idx="47">
                  <c:v>15038.851139924678</c:v>
                </c:pt>
                <c:pt idx="48">
                  <c:v>15116.105091719432</c:v>
                </c:pt>
              </c:numCache>
            </c:numRef>
          </c:val>
          <c:smooth val="1"/>
          <c:extLst>
            <c:ext xmlns:c16="http://schemas.microsoft.com/office/drawing/2014/chart" uri="{C3380CC4-5D6E-409C-BE32-E72D297353CC}">
              <c16:uniqueId val="{00000002-F58E-408D-855E-039ACF999F99}"/>
            </c:ext>
          </c:extLst>
        </c:ser>
        <c:ser>
          <c:idx val="3"/>
          <c:order val="3"/>
          <c:tx>
            <c:strRef>
              <c:f>ADC!$J$38</c:f>
              <c:strCache>
                <c:ptCount val="1"/>
                <c:pt idx="0">
                  <c:v>Recommended attachment</c:v>
                </c:pt>
              </c:strCache>
            </c:strRef>
          </c:tx>
          <c:spPr>
            <a:ln w="12600">
              <a:solidFill>
                <a:srgbClr val="C00000"/>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ADC!$B$39:$B$87</c:f>
              <c:numCache>
                <c:formatCode>0.00%</c:formatCode>
                <c:ptCount val="49"/>
                <c:pt idx="0">
                  <c:v>0</c:v>
                </c:pt>
                <c:pt idx="1">
                  <c:v>2.5000000000000001E-3</c:v>
                </c:pt>
                <c:pt idx="2">
                  <c:v>5.0000000000000001E-3</c:v>
                </c:pt>
                <c:pt idx="3">
                  <c:v>7.4999999999999997E-3</c:v>
                </c:pt>
                <c:pt idx="4">
                  <c:v>0.01</c:v>
                </c:pt>
                <c:pt idx="5">
                  <c:v>1.2500000000000001E-2</c:v>
                </c:pt>
                <c:pt idx="6">
                  <c:v>1.4999999999999999E-2</c:v>
                </c:pt>
                <c:pt idx="7">
                  <c:v>1.7500000000000002E-2</c:v>
                </c:pt>
                <c:pt idx="8">
                  <c:v>0.02</c:v>
                </c:pt>
                <c:pt idx="9">
                  <c:v>2.2499999999999999E-2</c:v>
                </c:pt>
                <c:pt idx="10">
                  <c:v>2.5000000000000001E-2</c:v>
                </c:pt>
                <c:pt idx="11">
                  <c:v>2.75E-2</c:v>
                </c:pt>
                <c:pt idx="12">
                  <c:v>0.03</c:v>
                </c:pt>
                <c:pt idx="13">
                  <c:v>3.2500000000000001E-2</c:v>
                </c:pt>
                <c:pt idx="14">
                  <c:v>3.5000000000000003E-2</c:v>
                </c:pt>
                <c:pt idx="15">
                  <c:v>3.7499999999999999E-2</c:v>
                </c:pt>
                <c:pt idx="16">
                  <c:v>0.04</c:v>
                </c:pt>
                <c:pt idx="17">
                  <c:v>4.2500000000000003E-2</c:v>
                </c:pt>
                <c:pt idx="18">
                  <c:v>4.4999999999999998E-2</c:v>
                </c:pt>
                <c:pt idx="19">
                  <c:v>4.7500000000000001E-2</c:v>
                </c:pt>
                <c:pt idx="20">
                  <c:v>0.05</c:v>
                </c:pt>
                <c:pt idx="21">
                  <c:v>5.2499999999999998E-2</c:v>
                </c:pt>
                <c:pt idx="22">
                  <c:v>5.5E-2</c:v>
                </c:pt>
                <c:pt idx="23">
                  <c:v>5.7500000000000002E-2</c:v>
                </c:pt>
                <c:pt idx="24">
                  <c:v>0.06</c:v>
                </c:pt>
                <c:pt idx="25">
                  <c:v>6.25E-2</c:v>
                </c:pt>
                <c:pt idx="26">
                  <c:v>6.5000000000000002E-2</c:v>
                </c:pt>
                <c:pt idx="27">
                  <c:v>6.7500000000000004E-2</c:v>
                </c:pt>
                <c:pt idx="28">
                  <c:v>7.0000000000000007E-2</c:v>
                </c:pt>
                <c:pt idx="29">
                  <c:v>7.2499999999999995E-2</c:v>
                </c:pt>
                <c:pt idx="30">
                  <c:v>7.4999999999999997E-2</c:v>
                </c:pt>
                <c:pt idx="31">
                  <c:v>7.7499999999999999E-2</c:v>
                </c:pt>
                <c:pt idx="32">
                  <c:v>0.08</c:v>
                </c:pt>
                <c:pt idx="33">
                  <c:v>8.2500000000000004E-2</c:v>
                </c:pt>
                <c:pt idx="34">
                  <c:v>8.5000000000000006E-2</c:v>
                </c:pt>
                <c:pt idx="35">
                  <c:v>8.7499999999999994E-2</c:v>
                </c:pt>
                <c:pt idx="36">
                  <c:v>0.09</c:v>
                </c:pt>
                <c:pt idx="37">
                  <c:v>9.2499999999999999E-2</c:v>
                </c:pt>
                <c:pt idx="38">
                  <c:v>9.5000000000000001E-2</c:v>
                </c:pt>
                <c:pt idx="39">
                  <c:v>9.7500000000000003E-2</c:v>
                </c:pt>
                <c:pt idx="40">
                  <c:v>0.1</c:v>
                </c:pt>
                <c:pt idx="41">
                  <c:v>0.10249999999999999</c:v>
                </c:pt>
                <c:pt idx="42">
                  <c:v>0.105</c:v>
                </c:pt>
                <c:pt idx="43">
                  <c:v>0.1075</c:v>
                </c:pt>
                <c:pt idx="44">
                  <c:v>0.11</c:v>
                </c:pt>
                <c:pt idx="45">
                  <c:v>0.1125</c:v>
                </c:pt>
                <c:pt idx="46">
                  <c:v>0.115</c:v>
                </c:pt>
                <c:pt idx="47">
                  <c:v>0.11749999999999999</c:v>
                </c:pt>
                <c:pt idx="48">
                  <c:v>0.12</c:v>
                </c:pt>
              </c:numCache>
            </c:numRef>
          </c:cat>
          <c:val>
            <c:numRef>
              <c:f>ADC!$J$39:$J$87</c:f>
              <c:numCache>
                <c:formatCode>#,##0.0;\(#,##0.0\);\-</c:formatCode>
                <c:ptCount val="49"/>
                <c:pt idx="0">
                  <c:v>11089.137384284513</c:v>
                </c:pt>
                <c:pt idx="1">
                  <c:v>11089.137384284513</c:v>
                </c:pt>
                <c:pt idx="2">
                  <c:v>11089.137384284513</c:v>
                </c:pt>
                <c:pt idx="3">
                  <c:v>11089.137384284513</c:v>
                </c:pt>
                <c:pt idx="4">
                  <c:v>11089.137384284513</c:v>
                </c:pt>
                <c:pt idx="5">
                  <c:v>11089.137384284513</c:v>
                </c:pt>
                <c:pt idx="6">
                  <c:v>11089.137384284513</c:v>
                </c:pt>
                <c:pt idx="7">
                  <c:v>11089.137384284513</c:v>
                </c:pt>
                <c:pt idx="8">
                  <c:v>11089.137384284513</c:v>
                </c:pt>
                <c:pt idx="9">
                  <c:v>11089.137384284513</c:v>
                </c:pt>
                <c:pt idx="10">
                  <c:v>11089.137384284513</c:v>
                </c:pt>
                <c:pt idx="11">
                  <c:v>11089.137384284513</c:v>
                </c:pt>
                <c:pt idx="12">
                  <c:v>11089.137384284513</c:v>
                </c:pt>
                <c:pt idx="13">
                  <c:v>11089.137384284513</c:v>
                </c:pt>
                <c:pt idx="14">
                  <c:v>11089.137384284513</c:v>
                </c:pt>
                <c:pt idx="15">
                  <c:v>11089.137384284513</c:v>
                </c:pt>
                <c:pt idx="16">
                  <c:v>11089.137384284513</c:v>
                </c:pt>
                <c:pt idx="17">
                  <c:v>11089.137384284513</c:v>
                </c:pt>
                <c:pt idx="18">
                  <c:v>11089.137384284513</c:v>
                </c:pt>
                <c:pt idx="19">
                  <c:v>11089.137384284513</c:v>
                </c:pt>
                <c:pt idx="20">
                  <c:v>11089.137384284513</c:v>
                </c:pt>
                <c:pt idx="21">
                  <c:v>11089.137384284513</c:v>
                </c:pt>
                <c:pt idx="22">
                  <c:v>11089.137384284513</c:v>
                </c:pt>
                <c:pt idx="23">
                  <c:v>11089.137384284513</c:v>
                </c:pt>
                <c:pt idx="24">
                  <c:v>11089.137384284513</c:v>
                </c:pt>
                <c:pt idx="25">
                  <c:v>11089.137384284513</c:v>
                </c:pt>
                <c:pt idx="26">
                  <c:v>11089.137384284513</c:v>
                </c:pt>
                <c:pt idx="27">
                  <c:v>11089.137384284513</c:v>
                </c:pt>
                <c:pt idx="28">
                  <c:v>11089.137384284513</c:v>
                </c:pt>
                <c:pt idx="29">
                  <c:v>11089.137384284513</c:v>
                </c:pt>
                <c:pt idx="30">
                  <c:v>11089.137384284513</c:v>
                </c:pt>
                <c:pt idx="31">
                  <c:v>11089.137384284513</c:v>
                </c:pt>
                <c:pt idx="32">
                  <c:v>11089.137384284513</c:v>
                </c:pt>
                <c:pt idx="33">
                  <c:v>11089.137384284513</c:v>
                </c:pt>
                <c:pt idx="34">
                  <c:v>11089.137384284513</c:v>
                </c:pt>
                <c:pt idx="35">
                  <c:v>11089.137384284513</c:v>
                </c:pt>
                <c:pt idx="36">
                  <c:v>11089.137384284513</c:v>
                </c:pt>
                <c:pt idx="37">
                  <c:v>11089.137384284513</c:v>
                </c:pt>
                <c:pt idx="38">
                  <c:v>11089.137384284513</c:v>
                </c:pt>
                <c:pt idx="39">
                  <c:v>11089.137384284513</c:v>
                </c:pt>
                <c:pt idx="40">
                  <c:v>11089.137384284513</c:v>
                </c:pt>
                <c:pt idx="41">
                  <c:v>11089.137384284513</c:v>
                </c:pt>
                <c:pt idx="42">
                  <c:v>11089.137384284513</c:v>
                </c:pt>
                <c:pt idx="43">
                  <c:v>11089.137384284513</c:v>
                </c:pt>
                <c:pt idx="44">
                  <c:v>11089.137384284513</c:v>
                </c:pt>
                <c:pt idx="45">
                  <c:v>11089.137384284513</c:v>
                </c:pt>
                <c:pt idx="46">
                  <c:v>11089.137384284513</c:v>
                </c:pt>
                <c:pt idx="47">
                  <c:v>11089.137384284513</c:v>
                </c:pt>
                <c:pt idx="48">
                  <c:v>11089.137384284513</c:v>
                </c:pt>
              </c:numCache>
            </c:numRef>
          </c:val>
          <c:smooth val="1"/>
          <c:extLst>
            <c:ext xmlns:c16="http://schemas.microsoft.com/office/drawing/2014/chart" uri="{C3380CC4-5D6E-409C-BE32-E72D297353CC}">
              <c16:uniqueId val="{00000003-F58E-408D-855E-039ACF999F99}"/>
            </c:ext>
          </c:extLst>
        </c:ser>
        <c:ser>
          <c:idx val="4"/>
          <c:order val="4"/>
          <c:tx>
            <c:strRef>
              <c:f>ADC!$K$38</c:f>
              <c:strCache>
                <c:ptCount val="1"/>
                <c:pt idx="0">
                  <c:v>Recommended exhaustion</c:v>
                </c:pt>
              </c:strCache>
            </c:strRef>
          </c:tx>
          <c:spPr>
            <a:ln w="12600">
              <a:solidFill>
                <a:srgbClr val="C00000"/>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ADC!$B$39:$B$87</c:f>
              <c:numCache>
                <c:formatCode>0.00%</c:formatCode>
                <c:ptCount val="49"/>
                <c:pt idx="0">
                  <c:v>0</c:v>
                </c:pt>
                <c:pt idx="1">
                  <c:v>2.5000000000000001E-3</c:v>
                </c:pt>
                <c:pt idx="2">
                  <c:v>5.0000000000000001E-3</c:v>
                </c:pt>
                <c:pt idx="3">
                  <c:v>7.4999999999999997E-3</c:v>
                </c:pt>
                <c:pt idx="4">
                  <c:v>0.01</c:v>
                </c:pt>
                <c:pt idx="5">
                  <c:v>1.2500000000000001E-2</c:v>
                </c:pt>
                <c:pt idx="6">
                  <c:v>1.4999999999999999E-2</c:v>
                </c:pt>
                <c:pt idx="7">
                  <c:v>1.7500000000000002E-2</c:v>
                </c:pt>
                <c:pt idx="8">
                  <c:v>0.02</c:v>
                </c:pt>
                <c:pt idx="9">
                  <c:v>2.2499999999999999E-2</c:v>
                </c:pt>
                <c:pt idx="10">
                  <c:v>2.5000000000000001E-2</c:v>
                </c:pt>
                <c:pt idx="11">
                  <c:v>2.75E-2</c:v>
                </c:pt>
                <c:pt idx="12">
                  <c:v>0.03</c:v>
                </c:pt>
                <c:pt idx="13">
                  <c:v>3.2500000000000001E-2</c:v>
                </c:pt>
                <c:pt idx="14">
                  <c:v>3.5000000000000003E-2</c:v>
                </c:pt>
                <c:pt idx="15">
                  <c:v>3.7499999999999999E-2</c:v>
                </c:pt>
                <c:pt idx="16">
                  <c:v>0.04</c:v>
                </c:pt>
                <c:pt idx="17">
                  <c:v>4.2500000000000003E-2</c:v>
                </c:pt>
                <c:pt idx="18">
                  <c:v>4.4999999999999998E-2</c:v>
                </c:pt>
                <c:pt idx="19">
                  <c:v>4.7500000000000001E-2</c:v>
                </c:pt>
                <c:pt idx="20">
                  <c:v>0.05</c:v>
                </c:pt>
                <c:pt idx="21">
                  <c:v>5.2499999999999998E-2</c:v>
                </c:pt>
                <c:pt idx="22">
                  <c:v>5.5E-2</c:v>
                </c:pt>
                <c:pt idx="23">
                  <c:v>5.7500000000000002E-2</c:v>
                </c:pt>
                <c:pt idx="24">
                  <c:v>0.06</c:v>
                </c:pt>
                <c:pt idx="25">
                  <c:v>6.25E-2</c:v>
                </c:pt>
                <c:pt idx="26">
                  <c:v>6.5000000000000002E-2</c:v>
                </c:pt>
                <c:pt idx="27">
                  <c:v>6.7500000000000004E-2</c:v>
                </c:pt>
                <c:pt idx="28">
                  <c:v>7.0000000000000007E-2</c:v>
                </c:pt>
                <c:pt idx="29">
                  <c:v>7.2499999999999995E-2</c:v>
                </c:pt>
                <c:pt idx="30">
                  <c:v>7.4999999999999997E-2</c:v>
                </c:pt>
                <c:pt idx="31">
                  <c:v>7.7499999999999999E-2</c:v>
                </c:pt>
                <c:pt idx="32">
                  <c:v>0.08</c:v>
                </c:pt>
                <c:pt idx="33">
                  <c:v>8.2500000000000004E-2</c:v>
                </c:pt>
                <c:pt idx="34">
                  <c:v>8.5000000000000006E-2</c:v>
                </c:pt>
                <c:pt idx="35">
                  <c:v>8.7499999999999994E-2</c:v>
                </c:pt>
                <c:pt idx="36">
                  <c:v>0.09</c:v>
                </c:pt>
                <c:pt idx="37">
                  <c:v>9.2499999999999999E-2</c:v>
                </c:pt>
                <c:pt idx="38">
                  <c:v>9.5000000000000001E-2</c:v>
                </c:pt>
                <c:pt idx="39">
                  <c:v>9.7500000000000003E-2</c:v>
                </c:pt>
                <c:pt idx="40">
                  <c:v>0.1</c:v>
                </c:pt>
                <c:pt idx="41">
                  <c:v>0.10249999999999999</c:v>
                </c:pt>
                <c:pt idx="42">
                  <c:v>0.105</c:v>
                </c:pt>
                <c:pt idx="43">
                  <c:v>0.1075</c:v>
                </c:pt>
                <c:pt idx="44">
                  <c:v>0.11</c:v>
                </c:pt>
                <c:pt idx="45">
                  <c:v>0.1125</c:v>
                </c:pt>
                <c:pt idx="46">
                  <c:v>0.115</c:v>
                </c:pt>
                <c:pt idx="47">
                  <c:v>0.11749999999999999</c:v>
                </c:pt>
                <c:pt idx="48">
                  <c:v>0.12</c:v>
                </c:pt>
              </c:numCache>
            </c:numRef>
          </c:cat>
          <c:val>
            <c:numRef>
              <c:f>ADC!$K$39:$K$87</c:f>
              <c:numCache>
                <c:formatCode>#,##0.0;\(#,##0.0\);\-</c:formatCode>
                <c:ptCount val="49"/>
                <c:pt idx="0">
                  <c:v>13729.408190066541</c:v>
                </c:pt>
                <c:pt idx="1">
                  <c:v>13729.408190066541</c:v>
                </c:pt>
                <c:pt idx="2">
                  <c:v>13729.408190066541</c:v>
                </c:pt>
                <c:pt idx="3">
                  <c:v>13729.408190066541</c:v>
                </c:pt>
                <c:pt idx="4">
                  <c:v>13729.408190066541</c:v>
                </c:pt>
                <c:pt idx="5">
                  <c:v>13729.408190066541</c:v>
                </c:pt>
                <c:pt idx="6">
                  <c:v>13729.408190066541</c:v>
                </c:pt>
                <c:pt idx="7">
                  <c:v>13729.408190066541</c:v>
                </c:pt>
                <c:pt idx="8">
                  <c:v>13729.408190066541</c:v>
                </c:pt>
                <c:pt idx="9">
                  <c:v>13729.408190066541</c:v>
                </c:pt>
                <c:pt idx="10">
                  <c:v>13729.408190066541</c:v>
                </c:pt>
                <c:pt idx="11">
                  <c:v>13729.408190066541</c:v>
                </c:pt>
                <c:pt idx="12">
                  <c:v>13729.408190066541</c:v>
                </c:pt>
                <c:pt idx="13">
                  <c:v>13729.408190066541</c:v>
                </c:pt>
                <c:pt idx="14">
                  <c:v>13729.408190066541</c:v>
                </c:pt>
                <c:pt idx="15">
                  <c:v>13729.408190066541</c:v>
                </c:pt>
                <c:pt idx="16">
                  <c:v>13729.408190066541</c:v>
                </c:pt>
                <c:pt idx="17">
                  <c:v>13729.408190066541</c:v>
                </c:pt>
                <c:pt idx="18">
                  <c:v>13729.408190066541</c:v>
                </c:pt>
                <c:pt idx="19">
                  <c:v>13729.408190066541</c:v>
                </c:pt>
                <c:pt idx="20">
                  <c:v>13729.408190066541</c:v>
                </c:pt>
                <c:pt idx="21">
                  <c:v>13729.408190066541</c:v>
                </c:pt>
                <c:pt idx="22">
                  <c:v>13729.408190066541</c:v>
                </c:pt>
                <c:pt idx="23">
                  <c:v>13729.408190066541</c:v>
                </c:pt>
                <c:pt idx="24">
                  <c:v>13729.408190066541</c:v>
                </c:pt>
                <c:pt idx="25">
                  <c:v>13729.408190066541</c:v>
                </c:pt>
                <c:pt idx="26">
                  <c:v>13729.408190066541</c:v>
                </c:pt>
                <c:pt idx="27">
                  <c:v>13729.408190066541</c:v>
                </c:pt>
                <c:pt idx="28">
                  <c:v>13729.408190066541</c:v>
                </c:pt>
                <c:pt idx="29">
                  <c:v>13729.408190066541</c:v>
                </c:pt>
                <c:pt idx="30">
                  <c:v>13729.408190066541</c:v>
                </c:pt>
                <c:pt idx="31">
                  <c:v>13729.408190066541</c:v>
                </c:pt>
                <c:pt idx="32">
                  <c:v>13729.408190066541</c:v>
                </c:pt>
                <c:pt idx="33">
                  <c:v>13729.408190066541</c:v>
                </c:pt>
                <c:pt idx="34">
                  <c:v>13729.408190066541</c:v>
                </c:pt>
                <c:pt idx="35">
                  <c:v>13729.408190066541</c:v>
                </c:pt>
                <c:pt idx="36">
                  <c:v>13729.408190066541</c:v>
                </c:pt>
                <c:pt idx="37">
                  <c:v>13729.408190066541</c:v>
                </c:pt>
                <c:pt idx="38">
                  <c:v>13729.408190066541</c:v>
                </c:pt>
                <c:pt idx="39">
                  <c:v>13729.408190066541</c:v>
                </c:pt>
                <c:pt idx="40">
                  <c:v>13729.408190066541</c:v>
                </c:pt>
                <c:pt idx="41">
                  <c:v>13729.408190066541</c:v>
                </c:pt>
                <c:pt idx="42">
                  <c:v>13729.408190066541</c:v>
                </c:pt>
                <c:pt idx="43">
                  <c:v>13729.408190066541</c:v>
                </c:pt>
                <c:pt idx="44">
                  <c:v>13729.408190066541</c:v>
                </c:pt>
                <c:pt idx="45">
                  <c:v>13729.408190066541</c:v>
                </c:pt>
                <c:pt idx="46">
                  <c:v>13729.408190066541</c:v>
                </c:pt>
                <c:pt idx="47">
                  <c:v>13729.408190066541</c:v>
                </c:pt>
                <c:pt idx="48">
                  <c:v>13729.408190066541</c:v>
                </c:pt>
              </c:numCache>
            </c:numRef>
          </c:val>
          <c:smooth val="1"/>
          <c:extLst>
            <c:ext xmlns:c16="http://schemas.microsoft.com/office/drawing/2014/chart" uri="{C3380CC4-5D6E-409C-BE32-E72D297353CC}">
              <c16:uniqueId val="{00000004-F58E-408D-855E-039ACF999F99}"/>
            </c:ext>
          </c:extLst>
        </c:ser>
        <c:dLbls>
          <c:showLegendKey val="0"/>
          <c:showVal val="0"/>
          <c:showCatName val="0"/>
          <c:showSerName val="0"/>
          <c:showPercent val="0"/>
          <c:showBubbleSize val="0"/>
        </c:dLbls>
        <c:hiLowLines>
          <c:spPr>
            <a:ln w="0">
              <a:noFill/>
            </a:ln>
          </c:spPr>
        </c:hiLowLines>
        <c:smooth val="0"/>
        <c:axId val="46745778"/>
        <c:axId val="84160604"/>
      </c:lineChart>
      <c:catAx>
        <c:axId val="46745778"/>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Additional claims inflation</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4160604"/>
        <c:crosses val="autoZero"/>
        <c:auto val="1"/>
        <c:lblAlgn val="ctr"/>
        <c:lblOffset val="100"/>
        <c:noMultiLvlLbl val="0"/>
      </c:catAx>
      <c:valAx>
        <c:axId val="8416060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Reserve (£000)</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674577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SG" sz="1800" b="1" strike="noStrike" spc="-1">
                <a:solidFill>
                  <a:srgbClr val="000000"/>
                </a:solidFill>
                <a:latin typeface="Calibri"/>
              </a:rPr>
              <a:t>Reserve by rating group and reserving basis - base scenarios</a:t>
            </a:r>
          </a:p>
        </c:rich>
      </c:tx>
      <c:overlay val="0"/>
      <c:spPr>
        <a:noFill/>
        <a:ln w="0">
          <a:noFill/>
        </a:ln>
      </c:spPr>
    </c:title>
    <c:autoTitleDeleted val="0"/>
    <c:plotArea>
      <c:layout/>
      <c:barChart>
        <c:barDir val="col"/>
        <c:grouping val="clustered"/>
        <c:varyColors val="0"/>
        <c:ser>
          <c:idx val="0"/>
          <c:order val="0"/>
          <c:tx>
            <c:strRef>
              <c:f>Summary!$C$5</c:f>
              <c:strCache>
                <c:ptCount val="1"/>
                <c:pt idx="0">
                  <c:v>Chain Ladder</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Summary!$B$6:$B$8</c:f>
              <c:strCache>
                <c:ptCount val="3"/>
                <c:pt idx="0">
                  <c:v>Group A</c:v>
                </c:pt>
                <c:pt idx="1">
                  <c:v>Group B</c:v>
                </c:pt>
                <c:pt idx="2">
                  <c:v>Group C</c:v>
                </c:pt>
              </c:strCache>
            </c:strRef>
          </c:cat>
          <c:val>
            <c:numRef>
              <c:f>Summary!$C$6:$C$8</c:f>
              <c:numCache>
                <c:formatCode>#,##0.0;\(#,##0.0\);\-</c:formatCode>
                <c:ptCount val="3"/>
                <c:pt idx="0">
                  <c:v>3967.3642191935965</c:v>
                </c:pt>
                <c:pt idx="1">
                  <c:v>3478.3681123775527</c:v>
                </c:pt>
                <c:pt idx="2">
                  <c:v>2891.5190253276669</c:v>
                </c:pt>
              </c:numCache>
            </c:numRef>
          </c:val>
          <c:extLst>
            <c:ext xmlns:c16="http://schemas.microsoft.com/office/drawing/2014/chart" uri="{C3380CC4-5D6E-409C-BE32-E72D297353CC}">
              <c16:uniqueId val="{00000000-C283-4ADD-A92E-613697FF687C}"/>
            </c:ext>
          </c:extLst>
        </c:ser>
        <c:ser>
          <c:idx val="1"/>
          <c:order val="1"/>
          <c:tx>
            <c:strRef>
              <c:f>Summary!$D$5</c:f>
              <c:strCache>
                <c:ptCount val="1"/>
                <c:pt idx="0">
                  <c:v>Expected Claims</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Summary!$B$6:$B$8</c:f>
              <c:strCache>
                <c:ptCount val="3"/>
                <c:pt idx="0">
                  <c:v>Group A</c:v>
                </c:pt>
                <c:pt idx="1">
                  <c:v>Group B</c:v>
                </c:pt>
                <c:pt idx="2">
                  <c:v>Group C</c:v>
                </c:pt>
              </c:strCache>
            </c:strRef>
          </c:cat>
          <c:val>
            <c:numRef>
              <c:f>Summary!$D$6:$D$8</c:f>
              <c:numCache>
                <c:formatCode>#,##0.0;\(#,##0.0\);\-</c:formatCode>
                <c:ptCount val="3"/>
                <c:pt idx="0">
                  <c:v>3892.5162143488292</c:v>
                </c:pt>
                <c:pt idx="1">
                  <c:v>3635.0731733110447</c:v>
                </c:pt>
                <c:pt idx="2">
                  <c:v>3044.7422791918907</c:v>
                </c:pt>
              </c:numCache>
            </c:numRef>
          </c:val>
          <c:extLst>
            <c:ext xmlns:c16="http://schemas.microsoft.com/office/drawing/2014/chart" uri="{C3380CC4-5D6E-409C-BE32-E72D297353CC}">
              <c16:uniqueId val="{00000001-C283-4ADD-A92E-613697FF687C}"/>
            </c:ext>
          </c:extLst>
        </c:ser>
        <c:ser>
          <c:idx val="2"/>
          <c:order val="2"/>
          <c:tx>
            <c:strRef>
              <c:f>Summary!$E$5</c:f>
              <c:strCache>
                <c:ptCount val="1"/>
                <c:pt idx="0">
                  <c:v>Bornhuetter-Ferguson</c:v>
                </c:pt>
              </c:strCache>
            </c:strRef>
          </c:tx>
          <c:spPr>
            <a:solidFill>
              <a:srgbClr val="9BBB59"/>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Summary!$B$6:$B$8</c:f>
              <c:strCache>
                <c:ptCount val="3"/>
                <c:pt idx="0">
                  <c:v>Group A</c:v>
                </c:pt>
                <c:pt idx="1">
                  <c:v>Group B</c:v>
                </c:pt>
                <c:pt idx="2">
                  <c:v>Group C</c:v>
                </c:pt>
              </c:strCache>
            </c:strRef>
          </c:cat>
          <c:val>
            <c:numRef>
              <c:f>Summary!$E$6:$E$8</c:f>
              <c:numCache>
                <c:formatCode>#,##0.0;\(#,##0.0\);\-</c:formatCode>
                <c:ptCount val="3"/>
                <c:pt idx="0">
                  <c:v>3953.1084384002825</c:v>
                </c:pt>
                <c:pt idx="1">
                  <c:v>3532.9964909688233</c:v>
                </c:pt>
                <c:pt idx="2">
                  <c:v>3074.9782937590021</c:v>
                </c:pt>
              </c:numCache>
            </c:numRef>
          </c:val>
          <c:extLst>
            <c:ext xmlns:c16="http://schemas.microsoft.com/office/drawing/2014/chart" uri="{C3380CC4-5D6E-409C-BE32-E72D297353CC}">
              <c16:uniqueId val="{00000002-C283-4ADD-A92E-613697FF687C}"/>
            </c:ext>
          </c:extLst>
        </c:ser>
        <c:dLbls>
          <c:showLegendKey val="0"/>
          <c:showVal val="0"/>
          <c:showCatName val="0"/>
          <c:showSerName val="0"/>
          <c:showPercent val="0"/>
          <c:showBubbleSize val="0"/>
        </c:dLbls>
        <c:gapWidth val="150"/>
        <c:axId val="58804978"/>
        <c:axId val="10514953"/>
      </c:barChart>
      <c:catAx>
        <c:axId val="58804978"/>
        <c:scaling>
          <c:orientation val="minMax"/>
        </c:scaling>
        <c:delete val="0"/>
        <c:axPos val="b"/>
        <c:title>
          <c:tx>
            <c:rich>
              <a:bodyPr rot="0"/>
              <a:lstStyle/>
              <a:p>
                <a:pPr>
                  <a:defRPr sz="1000" b="1" strike="noStrike" spc="-1">
                    <a:solidFill>
                      <a:srgbClr val="000000"/>
                    </a:solidFill>
                    <a:latin typeface="Calibri"/>
                  </a:defRPr>
                </a:pPr>
                <a:r>
                  <a:rPr lang="en-SG" sz="1000" b="1" strike="noStrike" spc="-1">
                    <a:solidFill>
                      <a:srgbClr val="000000"/>
                    </a:solidFill>
                    <a:latin typeface="Calibri"/>
                  </a:rPr>
                  <a:t>Rating group</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514953"/>
        <c:crosses val="autoZero"/>
        <c:auto val="1"/>
        <c:lblAlgn val="ctr"/>
        <c:lblOffset val="100"/>
        <c:noMultiLvlLbl val="0"/>
      </c:catAx>
      <c:valAx>
        <c:axId val="1051495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SG" sz="1000" b="1" strike="noStrike" spc="-1">
                    <a:solidFill>
                      <a:srgbClr val="000000"/>
                    </a:solidFill>
                    <a:latin typeface="Calibri"/>
                  </a:rPr>
                  <a:t>Reserve (£000)</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880497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SG" sz="1800" b="1" strike="noStrike" spc="-1">
                <a:solidFill>
                  <a:srgbClr val="000000"/>
                </a:solidFill>
                <a:latin typeface="Calibri"/>
              </a:rPr>
              <a:t>Portfolio reserve - base against extension scenario</a:t>
            </a:r>
          </a:p>
        </c:rich>
      </c:tx>
      <c:overlay val="0"/>
      <c:spPr>
        <a:noFill/>
        <a:ln w="0">
          <a:noFill/>
        </a:ln>
      </c:spPr>
    </c:title>
    <c:autoTitleDeleted val="0"/>
    <c:plotArea>
      <c:layout/>
      <c:barChart>
        <c:barDir val="col"/>
        <c:grouping val="clustered"/>
        <c:varyColors val="0"/>
        <c:ser>
          <c:idx val="0"/>
          <c:order val="0"/>
          <c:tx>
            <c:strRef>
              <c:f>Summary!$C$21</c:f>
              <c:strCache>
                <c:ptCount val="1"/>
                <c:pt idx="0">
                  <c:v>Base reserve (£000)</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Summary!$B$22:$B$24</c:f>
              <c:strCache>
                <c:ptCount val="3"/>
                <c:pt idx="0">
                  <c:v>Chain Ladder</c:v>
                </c:pt>
                <c:pt idx="1">
                  <c:v>Expected Claims</c:v>
                </c:pt>
                <c:pt idx="2">
                  <c:v>Bornhuetter-Ferguson</c:v>
                </c:pt>
              </c:strCache>
            </c:strRef>
          </c:cat>
          <c:val>
            <c:numRef>
              <c:f>Summary!$C$22:$C$24</c:f>
              <c:numCache>
                <c:formatCode>#,##0.0;\(#,##0.0\);\-</c:formatCode>
                <c:ptCount val="3"/>
                <c:pt idx="0">
                  <c:v>10337.251356898816</c:v>
                </c:pt>
                <c:pt idx="1">
                  <c:v>10572.331666851765</c:v>
                </c:pt>
                <c:pt idx="2">
                  <c:v>10561.083223128107</c:v>
                </c:pt>
              </c:numCache>
            </c:numRef>
          </c:val>
          <c:extLst>
            <c:ext xmlns:c16="http://schemas.microsoft.com/office/drawing/2014/chart" uri="{C3380CC4-5D6E-409C-BE32-E72D297353CC}">
              <c16:uniqueId val="{00000000-56CD-45BB-A60D-D30E6272EEA4}"/>
            </c:ext>
          </c:extLst>
        </c:ser>
        <c:ser>
          <c:idx val="1"/>
          <c:order val="1"/>
          <c:tx>
            <c:strRef>
              <c:f>Summary!$D$21</c:f>
              <c:strCache>
                <c:ptCount val="1"/>
                <c:pt idx="0">
                  <c:v>Extension reserve (£000)</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Summary!$B$22:$B$24</c:f>
              <c:strCache>
                <c:ptCount val="3"/>
                <c:pt idx="0">
                  <c:v>Chain Ladder</c:v>
                </c:pt>
                <c:pt idx="1">
                  <c:v>Expected Claims</c:v>
                </c:pt>
                <c:pt idx="2">
                  <c:v>Bornhuetter-Ferguson</c:v>
                </c:pt>
              </c:strCache>
            </c:strRef>
          </c:cat>
          <c:val>
            <c:numRef>
              <c:f>Summary!$D$22:$D$24</c:f>
              <c:numCache>
                <c:formatCode>#,##0.0;\(#,##0.0\);\-</c:formatCode>
                <c:ptCount val="3"/>
                <c:pt idx="0">
                  <c:v>12668.992696840862</c:v>
                </c:pt>
                <c:pt idx="1">
                  <c:v>12384.547726839384</c:v>
                </c:pt>
                <c:pt idx="2">
                  <c:v>12755.646335987694</c:v>
                </c:pt>
              </c:numCache>
            </c:numRef>
          </c:val>
          <c:extLst>
            <c:ext xmlns:c16="http://schemas.microsoft.com/office/drawing/2014/chart" uri="{C3380CC4-5D6E-409C-BE32-E72D297353CC}">
              <c16:uniqueId val="{00000001-56CD-45BB-A60D-D30E6272EEA4}"/>
            </c:ext>
          </c:extLst>
        </c:ser>
        <c:dLbls>
          <c:showLegendKey val="0"/>
          <c:showVal val="0"/>
          <c:showCatName val="0"/>
          <c:showSerName val="0"/>
          <c:showPercent val="0"/>
          <c:showBubbleSize val="0"/>
        </c:dLbls>
        <c:gapWidth val="150"/>
        <c:axId val="52235340"/>
        <c:axId val="56809519"/>
      </c:barChart>
      <c:catAx>
        <c:axId val="52235340"/>
        <c:scaling>
          <c:orientation val="minMax"/>
        </c:scaling>
        <c:delete val="0"/>
        <c:axPos val="b"/>
        <c:title>
          <c:tx>
            <c:rich>
              <a:bodyPr rot="0"/>
              <a:lstStyle/>
              <a:p>
                <a:pPr>
                  <a:defRPr sz="1000" b="1" strike="noStrike" spc="-1">
                    <a:solidFill>
                      <a:srgbClr val="000000"/>
                    </a:solidFill>
                    <a:latin typeface="Calibri"/>
                  </a:defRPr>
                </a:pPr>
                <a:r>
                  <a:rPr lang="en-SG" sz="1000" b="1" strike="noStrike" spc="-1">
                    <a:solidFill>
                      <a:srgbClr val="000000"/>
                    </a:solidFill>
                    <a:latin typeface="Calibri"/>
                  </a:rPr>
                  <a:t>Reserving basis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6809519"/>
        <c:crosses val="autoZero"/>
        <c:auto val="1"/>
        <c:lblAlgn val="ctr"/>
        <c:lblOffset val="100"/>
        <c:noMultiLvlLbl val="0"/>
      </c:catAx>
      <c:valAx>
        <c:axId val="5680951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SG" sz="1000" b="1" strike="noStrike" spc="-1">
                    <a:solidFill>
                      <a:srgbClr val="000000"/>
                    </a:solidFill>
                    <a:latin typeface="Calibri"/>
                  </a:rPr>
                  <a:t>Reserve (£000)</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223534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Ultimate loss ratio by accident year - Bornhuetter-Ferguson</a:t>
            </a:r>
          </a:p>
        </c:rich>
      </c:tx>
      <c:overlay val="0"/>
      <c:spPr>
        <a:noFill/>
        <a:ln w="0">
          <a:noFill/>
        </a:ln>
      </c:spPr>
    </c:title>
    <c:autoTitleDeleted val="0"/>
    <c:plotArea>
      <c:layout/>
      <c:lineChart>
        <c:grouping val="standard"/>
        <c:varyColors val="0"/>
        <c:ser>
          <c:idx val="0"/>
          <c:order val="0"/>
          <c:tx>
            <c:strRef>
              <c:f>Summary!$C$30</c:f>
              <c:strCache>
                <c:ptCount val="1"/>
                <c:pt idx="0">
                  <c:v>Group A base</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Summary!$B$31:$B$36</c:f>
              <c:numCache>
                <c:formatCode>0</c:formatCode>
                <c:ptCount val="6"/>
                <c:pt idx="0">
                  <c:v>2020</c:v>
                </c:pt>
                <c:pt idx="1">
                  <c:v>2021</c:v>
                </c:pt>
                <c:pt idx="2">
                  <c:v>2022</c:v>
                </c:pt>
                <c:pt idx="3">
                  <c:v>2023</c:v>
                </c:pt>
                <c:pt idx="4">
                  <c:v>2024</c:v>
                </c:pt>
                <c:pt idx="5">
                  <c:v>2025</c:v>
                </c:pt>
              </c:numCache>
            </c:numRef>
          </c:cat>
          <c:val>
            <c:numRef>
              <c:f>Summary!$C$31:$C$36</c:f>
              <c:numCache>
                <c:formatCode>0.0%</c:formatCode>
                <c:ptCount val="6"/>
                <c:pt idx="0">
                  <c:v>0.57916666666666672</c:v>
                </c:pt>
                <c:pt idx="1">
                  <c:v>0.56991225571464144</c:v>
                </c:pt>
                <c:pt idx="2">
                  <c:v>0.67699406707933873</c:v>
                </c:pt>
                <c:pt idx="3">
                  <c:v>0.65102212740495069</c:v>
                </c:pt>
                <c:pt idx="4">
                  <c:v>0.62352738083739079</c:v>
                </c:pt>
                <c:pt idx="5">
                  <c:v>0.64024143278426882</c:v>
                </c:pt>
              </c:numCache>
            </c:numRef>
          </c:val>
          <c:smooth val="1"/>
          <c:extLst>
            <c:ext xmlns:c16="http://schemas.microsoft.com/office/drawing/2014/chart" uri="{C3380CC4-5D6E-409C-BE32-E72D297353CC}">
              <c16:uniqueId val="{00000000-8EAB-4DEE-A4A0-971A05EF15EA}"/>
            </c:ext>
          </c:extLst>
        </c:ser>
        <c:ser>
          <c:idx val="1"/>
          <c:order val="1"/>
          <c:tx>
            <c:strRef>
              <c:f>Summary!$D$30</c:f>
              <c:strCache>
                <c:ptCount val="1"/>
                <c:pt idx="0">
                  <c:v>Group B base</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Summary!$B$31:$B$36</c:f>
              <c:numCache>
                <c:formatCode>0</c:formatCode>
                <c:ptCount val="6"/>
                <c:pt idx="0">
                  <c:v>2020</c:v>
                </c:pt>
                <c:pt idx="1">
                  <c:v>2021</c:v>
                </c:pt>
                <c:pt idx="2">
                  <c:v>2022</c:v>
                </c:pt>
                <c:pt idx="3">
                  <c:v>2023</c:v>
                </c:pt>
                <c:pt idx="4">
                  <c:v>2024</c:v>
                </c:pt>
                <c:pt idx="5">
                  <c:v>2025</c:v>
                </c:pt>
              </c:numCache>
            </c:numRef>
          </c:cat>
          <c:val>
            <c:numRef>
              <c:f>Summary!$D$31:$D$36</c:f>
              <c:numCache>
                <c:formatCode>0.0%</c:formatCode>
                <c:ptCount val="6"/>
                <c:pt idx="0">
                  <c:v>0.59719354838709671</c:v>
                </c:pt>
                <c:pt idx="1">
                  <c:v>0.66127659895784885</c:v>
                </c:pt>
                <c:pt idx="2">
                  <c:v>0.70743204662727766</c:v>
                </c:pt>
                <c:pt idx="3">
                  <c:v>0.6946307463924144</c:v>
                </c:pt>
                <c:pt idx="4">
                  <c:v>0.68450270752095121</c:v>
                </c:pt>
                <c:pt idx="5">
                  <c:v>0.67283825401365926</c:v>
                </c:pt>
              </c:numCache>
            </c:numRef>
          </c:val>
          <c:smooth val="1"/>
          <c:extLst>
            <c:ext xmlns:c16="http://schemas.microsoft.com/office/drawing/2014/chart" uri="{C3380CC4-5D6E-409C-BE32-E72D297353CC}">
              <c16:uniqueId val="{00000001-8EAB-4DEE-A4A0-971A05EF15EA}"/>
            </c:ext>
          </c:extLst>
        </c:ser>
        <c:ser>
          <c:idx val="2"/>
          <c:order val="2"/>
          <c:tx>
            <c:strRef>
              <c:f>Summary!$E$30</c:f>
              <c:strCache>
                <c:ptCount val="1"/>
                <c:pt idx="0">
                  <c:v>Group C base</c:v>
                </c:pt>
              </c:strCache>
            </c:strRef>
          </c:tx>
          <c:spPr>
            <a:ln w="28440">
              <a:solidFill>
                <a:srgbClr val="98B855"/>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Summary!$B$31:$B$36</c:f>
              <c:numCache>
                <c:formatCode>0</c:formatCode>
                <c:ptCount val="6"/>
                <c:pt idx="0">
                  <c:v>2020</c:v>
                </c:pt>
                <c:pt idx="1">
                  <c:v>2021</c:v>
                </c:pt>
                <c:pt idx="2">
                  <c:v>2022</c:v>
                </c:pt>
                <c:pt idx="3">
                  <c:v>2023</c:v>
                </c:pt>
                <c:pt idx="4">
                  <c:v>2024</c:v>
                </c:pt>
                <c:pt idx="5">
                  <c:v>2025</c:v>
                </c:pt>
              </c:numCache>
            </c:numRef>
          </c:cat>
          <c:val>
            <c:numRef>
              <c:f>Summary!$E$31:$E$36</c:f>
              <c:numCache>
                <c:formatCode>0.0%</c:formatCode>
                <c:ptCount val="6"/>
                <c:pt idx="0">
                  <c:v>0.72233333333333338</c:v>
                </c:pt>
                <c:pt idx="1">
                  <c:v>0.77761020962214611</c:v>
                </c:pt>
                <c:pt idx="2">
                  <c:v>0.88600257924598314</c:v>
                </c:pt>
                <c:pt idx="3">
                  <c:v>0.80375184840083869</c:v>
                </c:pt>
                <c:pt idx="4">
                  <c:v>0.76500635454021804</c:v>
                </c:pt>
                <c:pt idx="5">
                  <c:v>0.7508045328402384</c:v>
                </c:pt>
              </c:numCache>
            </c:numRef>
          </c:val>
          <c:smooth val="1"/>
          <c:extLst>
            <c:ext xmlns:c16="http://schemas.microsoft.com/office/drawing/2014/chart" uri="{C3380CC4-5D6E-409C-BE32-E72D297353CC}">
              <c16:uniqueId val="{00000002-8EAB-4DEE-A4A0-971A05EF15EA}"/>
            </c:ext>
          </c:extLst>
        </c:ser>
        <c:ser>
          <c:idx val="3"/>
          <c:order val="3"/>
          <c:tx>
            <c:strRef>
              <c:f>Summary!$F$30</c:f>
              <c:strCache>
                <c:ptCount val="1"/>
                <c:pt idx="0">
                  <c:v>Group A extension</c:v>
                </c:pt>
              </c:strCache>
            </c:strRef>
          </c:tx>
          <c:spPr>
            <a:ln w="28440">
              <a:solidFill>
                <a:srgbClr val="7D5FA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Summary!$B$31:$B$36</c:f>
              <c:numCache>
                <c:formatCode>0</c:formatCode>
                <c:ptCount val="6"/>
                <c:pt idx="0">
                  <c:v>2020</c:v>
                </c:pt>
                <c:pt idx="1">
                  <c:v>2021</c:v>
                </c:pt>
                <c:pt idx="2">
                  <c:v>2022</c:v>
                </c:pt>
                <c:pt idx="3">
                  <c:v>2023</c:v>
                </c:pt>
                <c:pt idx="4">
                  <c:v>2024</c:v>
                </c:pt>
                <c:pt idx="5">
                  <c:v>2025</c:v>
                </c:pt>
              </c:numCache>
            </c:numRef>
          </c:cat>
          <c:val>
            <c:numRef>
              <c:f>Summary!$F$31:$F$36</c:f>
              <c:numCache>
                <c:formatCode>0.0%</c:formatCode>
                <c:ptCount val="6"/>
                <c:pt idx="0">
                  <c:v>0.58687333932310548</c:v>
                </c:pt>
                <c:pt idx="1">
                  <c:v>0.57932174231255296</c:v>
                </c:pt>
                <c:pt idx="2">
                  <c:v>0.68903950016754967</c:v>
                </c:pt>
                <c:pt idx="3">
                  <c:v>0.66737826056691985</c:v>
                </c:pt>
                <c:pt idx="4">
                  <c:v>0.64767927029762606</c:v>
                </c:pt>
                <c:pt idx="5">
                  <c:v>0.68027086181312513</c:v>
                </c:pt>
              </c:numCache>
            </c:numRef>
          </c:val>
          <c:smooth val="1"/>
          <c:extLst>
            <c:ext xmlns:c16="http://schemas.microsoft.com/office/drawing/2014/chart" uri="{C3380CC4-5D6E-409C-BE32-E72D297353CC}">
              <c16:uniqueId val="{00000003-8EAB-4DEE-A4A0-971A05EF15EA}"/>
            </c:ext>
          </c:extLst>
        </c:ser>
        <c:ser>
          <c:idx val="4"/>
          <c:order val="4"/>
          <c:tx>
            <c:strRef>
              <c:f>Summary!$G$30</c:f>
              <c:strCache>
                <c:ptCount val="1"/>
                <c:pt idx="0">
                  <c:v>Group B extension</c:v>
                </c:pt>
              </c:strCache>
            </c:strRef>
          </c:tx>
          <c:spPr>
            <a:ln w="28440">
              <a:solidFill>
                <a:srgbClr val="46AAC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Summary!$B$31:$B$36</c:f>
              <c:numCache>
                <c:formatCode>0</c:formatCode>
                <c:ptCount val="6"/>
                <c:pt idx="0">
                  <c:v>2020</c:v>
                </c:pt>
                <c:pt idx="1">
                  <c:v>2021</c:v>
                </c:pt>
                <c:pt idx="2">
                  <c:v>2022</c:v>
                </c:pt>
                <c:pt idx="3">
                  <c:v>2023</c:v>
                </c:pt>
                <c:pt idx="4">
                  <c:v>2024</c:v>
                </c:pt>
                <c:pt idx="5">
                  <c:v>2025</c:v>
                </c:pt>
              </c:numCache>
            </c:numRef>
          </c:cat>
          <c:val>
            <c:numRef>
              <c:f>Summary!$G$31:$G$36</c:f>
              <c:numCache>
                <c:formatCode>0.0%</c:formatCode>
                <c:ptCount val="6"/>
                <c:pt idx="0">
                  <c:v>0.62061988474777774</c:v>
                </c:pt>
                <c:pt idx="1">
                  <c:v>0.68793786470269458</c:v>
                </c:pt>
                <c:pt idx="2">
                  <c:v>0.73835150221521861</c:v>
                </c:pt>
                <c:pt idx="3">
                  <c:v>0.73066967220276946</c:v>
                </c:pt>
                <c:pt idx="4">
                  <c:v>0.7287682909341755</c:v>
                </c:pt>
                <c:pt idx="5">
                  <c:v>0.73440082714453325</c:v>
                </c:pt>
              </c:numCache>
            </c:numRef>
          </c:val>
          <c:smooth val="1"/>
          <c:extLst>
            <c:ext xmlns:c16="http://schemas.microsoft.com/office/drawing/2014/chart" uri="{C3380CC4-5D6E-409C-BE32-E72D297353CC}">
              <c16:uniqueId val="{00000004-8EAB-4DEE-A4A0-971A05EF15EA}"/>
            </c:ext>
          </c:extLst>
        </c:ser>
        <c:ser>
          <c:idx val="5"/>
          <c:order val="5"/>
          <c:tx>
            <c:strRef>
              <c:f>Summary!$H$30</c:f>
              <c:strCache>
                <c:ptCount val="1"/>
                <c:pt idx="0">
                  <c:v>Group C extension</c:v>
                </c:pt>
              </c:strCache>
            </c:strRef>
          </c:tx>
          <c:spPr>
            <a:ln w="28440">
              <a:solidFill>
                <a:srgbClr val="F5924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Summary!$B$31:$B$36</c:f>
              <c:numCache>
                <c:formatCode>0</c:formatCode>
                <c:ptCount val="6"/>
                <c:pt idx="0">
                  <c:v>2020</c:v>
                </c:pt>
                <c:pt idx="1">
                  <c:v>2021</c:v>
                </c:pt>
                <c:pt idx="2">
                  <c:v>2022</c:v>
                </c:pt>
                <c:pt idx="3">
                  <c:v>2023</c:v>
                </c:pt>
                <c:pt idx="4">
                  <c:v>2024</c:v>
                </c:pt>
                <c:pt idx="5">
                  <c:v>2025</c:v>
                </c:pt>
              </c:numCache>
            </c:numRef>
          </c:cat>
          <c:val>
            <c:numRef>
              <c:f>Summary!$H$31:$H$36</c:f>
              <c:numCache>
                <c:formatCode>0.0%</c:formatCode>
                <c:ptCount val="6"/>
                <c:pt idx="0">
                  <c:v>0.76588337418089569</c:v>
                </c:pt>
                <c:pt idx="1">
                  <c:v>0.82705462880959602</c:v>
                </c:pt>
                <c:pt idx="2">
                  <c:v>0.94094535516859146</c:v>
                </c:pt>
                <c:pt idx="3">
                  <c:v>0.86436827323172172</c:v>
                </c:pt>
                <c:pt idx="4">
                  <c:v>0.83474520554869169</c:v>
                </c:pt>
                <c:pt idx="5">
                  <c:v>0.83915227666386549</c:v>
                </c:pt>
              </c:numCache>
            </c:numRef>
          </c:val>
          <c:smooth val="1"/>
          <c:extLst>
            <c:ext xmlns:c16="http://schemas.microsoft.com/office/drawing/2014/chart" uri="{C3380CC4-5D6E-409C-BE32-E72D297353CC}">
              <c16:uniqueId val="{00000005-8EAB-4DEE-A4A0-971A05EF15EA}"/>
            </c:ext>
          </c:extLst>
        </c:ser>
        <c:dLbls>
          <c:showLegendKey val="0"/>
          <c:showVal val="0"/>
          <c:showCatName val="0"/>
          <c:showSerName val="0"/>
          <c:showPercent val="0"/>
          <c:showBubbleSize val="0"/>
        </c:dLbls>
        <c:hiLowLines>
          <c:spPr>
            <a:ln w="0">
              <a:noFill/>
            </a:ln>
          </c:spPr>
        </c:hiLowLines>
        <c:smooth val="0"/>
        <c:axId val="26107341"/>
        <c:axId val="37865093"/>
      </c:lineChart>
      <c:catAx>
        <c:axId val="26107341"/>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Accident year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7865093"/>
        <c:crosses val="autoZero"/>
        <c:auto val="1"/>
        <c:lblAlgn val="ctr"/>
        <c:lblOffset val="100"/>
        <c:noMultiLvlLbl val="0"/>
      </c:catAx>
      <c:valAx>
        <c:axId val="3786509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Ultimate loss ratio</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610734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Proportion of ultimate claims paid by development age</a:t>
            </a:r>
          </a:p>
        </c:rich>
      </c:tx>
      <c:overlay val="0"/>
      <c:spPr>
        <a:noFill/>
        <a:ln w="0">
          <a:noFill/>
        </a:ln>
      </c:spPr>
    </c:title>
    <c:autoTitleDeleted val="0"/>
    <c:plotArea>
      <c:layout/>
      <c:lineChart>
        <c:grouping val="standard"/>
        <c:varyColors val="0"/>
        <c:ser>
          <c:idx val="0"/>
          <c:order val="0"/>
          <c:tx>
            <c:strRef>
              <c:f>Summary!$C$48</c:f>
              <c:strCache>
                <c:ptCount val="1"/>
                <c:pt idx="0">
                  <c:v>Group A</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Summary!$B$49:$B$54</c:f>
              <c:numCache>
                <c:formatCode>#,##0</c:formatCode>
                <c:ptCount val="6"/>
                <c:pt idx="0">
                  <c:v>12</c:v>
                </c:pt>
                <c:pt idx="1">
                  <c:v>24</c:v>
                </c:pt>
                <c:pt idx="2">
                  <c:v>36</c:v>
                </c:pt>
                <c:pt idx="3">
                  <c:v>48</c:v>
                </c:pt>
                <c:pt idx="4">
                  <c:v>60</c:v>
                </c:pt>
                <c:pt idx="5">
                  <c:v>72</c:v>
                </c:pt>
              </c:numCache>
            </c:numRef>
          </c:cat>
          <c:val>
            <c:numRef>
              <c:f>Summary!$C$49:$C$54</c:f>
              <c:numCache>
                <c:formatCode>0.0%</c:formatCode>
                <c:ptCount val="6"/>
                <c:pt idx="0">
                  <c:v>0.41743526870703695</c:v>
                </c:pt>
                <c:pt idx="1">
                  <c:v>0.69298049946260576</c:v>
                </c:pt>
                <c:pt idx="2">
                  <c:v>0.84519271012612696</c:v>
                </c:pt>
                <c:pt idx="3">
                  <c:v>0.92659806022030655</c:v>
                </c:pt>
                <c:pt idx="4">
                  <c:v>0.96386433710174713</c:v>
                </c:pt>
                <c:pt idx="5">
                  <c:v>1</c:v>
                </c:pt>
              </c:numCache>
            </c:numRef>
          </c:val>
          <c:smooth val="1"/>
          <c:extLst>
            <c:ext xmlns:c16="http://schemas.microsoft.com/office/drawing/2014/chart" uri="{C3380CC4-5D6E-409C-BE32-E72D297353CC}">
              <c16:uniqueId val="{00000000-D7CA-4F18-886A-E70DFCBAE803}"/>
            </c:ext>
          </c:extLst>
        </c:ser>
        <c:ser>
          <c:idx val="1"/>
          <c:order val="1"/>
          <c:tx>
            <c:strRef>
              <c:f>Summary!$D$48</c:f>
              <c:strCache>
                <c:ptCount val="1"/>
                <c:pt idx="0">
                  <c:v>Group B</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Summary!$B$49:$B$54</c:f>
              <c:numCache>
                <c:formatCode>#,##0</c:formatCode>
                <c:ptCount val="6"/>
                <c:pt idx="0">
                  <c:v>12</c:v>
                </c:pt>
                <c:pt idx="1">
                  <c:v>24</c:v>
                </c:pt>
                <c:pt idx="2">
                  <c:v>36</c:v>
                </c:pt>
                <c:pt idx="3">
                  <c:v>48</c:v>
                </c:pt>
                <c:pt idx="4">
                  <c:v>60</c:v>
                </c:pt>
                <c:pt idx="5">
                  <c:v>72</c:v>
                </c:pt>
              </c:numCache>
            </c:numRef>
          </c:cat>
          <c:val>
            <c:numRef>
              <c:f>Summary!$D$49:$D$54</c:f>
              <c:numCache>
                <c:formatCode>0.0%</c:formatCode>
                <c:ptCount val="6"/>
                <c:pt idx="0">
                  <c:v>0.33355569171508731</c:v>
                </c:pt>
                <c:pt idx="1">
                  <c:v>0.63803077720876833</c:v>
                </c:pt>
                <c:pt idx="2">
                  <c:v>0.81605800622046443</c:v>
                </c:pt>
                <c:pt idx="3">
                  <c:v>0.90751402310299334</c:v>
                </c:pt>
                <c:pt idx="4">
                  <c:v>0.98039215686274506</c:v>
                </c:pt>
                <c:pt idx="5">
                  <c:v>1</c:v>
                </c:pt>
              </c:numCache>
            </c:numRef>
          </c:val>
          <c:smooth val="1"/>
          <c:extLst>
            <c:ext xmlns:c16="http://schemas.microsoft.com/office/drawing/2014/chart" uri="{C3380CC4-5D6E-409C-BE32-E72D297353CC}">
              <c16:uniqueId val="{00000001-D7CA-4F18-886A-E70DFCBAE803}"/>
            </c:ext>
          </c:extLst>
        </c:ser>
        <c:ser>
          <c:idx val="2"/>
          <c:order val="2"/>
          <c:tx>
            <c:strRef>
              <c:f>Summary!$E$48</c:f>
              <c:strCache>
                <c:ptCount val="1"/>
                <c:pt idx="0">
                  <c:v>Group C</c:v>
                </c:pt>
              </c:strCache>
            </c:strRef>
          </c:tx>
          <c:spPr>
            <a:ln w="28440">
              <a:solidFill>
                <a:srgbClr val="98B855"/>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Summary!$B$49:$B$54</c:f>
              <c:numCache>
                <c:formatCode>#,##0</c:formatCode>
                <c:ptCount val="6"/>
                <c:pt idx="0">
                  <c:v>12</c:v>
                </c:pt>
                <c:pt idx="1">
                  <c:v>24</c:v>
                </c:pt>
                <c:pt idx="2">
                  <c:v>36</c:v>
                </c:pt>
                <c:pt idx="3">
                  <c:v>48</c:v>
                </c:pt>
                <c:pt idx="4">
                  <c:v>60</c:v>
                </c:pt>
                <c:pt idx="5">
                  <c:v>72</c:v>
                </c:pt>
              </c:numCache>
            </c:numRef>
          </c:cat>
          <c:val>
            <c:numRef>
              <c:f>Summary!$E$49:$E$54</c:f>
              <c:numCache>
                <c:formatCode>0.0%</c:formatCode>
                <c:ptCount val="6"/>
                <c:pt idx="0">
                  <c:v>0.25990131506288572</c:v>
                </c:pt>
                <c:pt idx="1">
                  <c:v>0.54383176339938566</c:v>
                </c:pt>
                <c:pt idx="2">
                  <c:v>0.72947301446415302</c:v>
                </c:pt>
                <c:pt idx="3">
                  <c:v>0.89338087298134794</c:v>
                </c:pt>
                <c:pt idx="4">
                  <c:v>0.95493001076757411</c:v>
                </c:pt>
                <c:pt idx="5">
                  <c:v>1</c:v>
                </c:pt>
              </c:numCache>
            </c:numRef>
          </c:val>
          <c:smooth val="1"/>
          <c:extLst>
            <c:ext xmlns:c16="http://schemas.microsoft.com/office/drawing/2014/chart" uri="{C3380CC4-5D6E-409C-BE32-E72D297353CC}">
              <c16:uniqueId val="{00000002-D7CA-4F18-886A-E70DFCBAE803}"/>
            </c:ext>
          </c:extLst>
        </c:ser>
        <c:dLbls>
          <c:showLegendKey val="0"/>
          <c:showVal val="0"/>
          <c:showCatName val="0"/>
          <c:showSerName val="0"/>
          <c:showPercent val="0"/>
          <c:showBubbleSize val="0"/>
        </c:dLbls>
        <c:hiLowLines>
          <c:spPr>
            <a:ln w="0">
              <a:noFill/>
            </a:ln>
          </c:spPr>
        </c:hiLowLines>
        <c:smooth val="0"/>
        <c:axId val="14328415"/>
        <c:axId val="34391990"/>
      </c:lineChart>
      <c:catAx>
        <c:axId val="14328415"/>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Development age (months)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4391990"/>
        <c:crosses val="autoZero"/>
        <c:auto val="1"/>
        <c:lblAlgn val="ctr"/>
        <c:lblOffset val="100"/>
        <c:noMultiLvlLbl val="0"/>
      </c:catAx>
      <c:valAx>
        <c:axId val="3439199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 of ultimate paid</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432841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2025 combined ratio by rating group - Bornhuetter-Ferguson basis</a:t>
            </a:r>
          </a:p>
        </c:rich>
      </c:tx>
      <c:overlay val="0"/>
      <c:spPr>
        <a:noFill/>
        <a:ln w="0">
          <a:noFill/>
        </a:ln>
      </c:spPr>
    </c:title>
    <c:autoTitleDeleted val="0"/>
    <c:plotArea>
      <c:layout/>
      <c:barChart>
        <c:barDir val="col"/>
        <c:grouping val="stacked"/>
        <c:varyColors val="0"/>
        <c:ser>
          <c:idx val="0"/>
          <c:order val="0"/>
          <c:tx>
            <c:strRef>
              <c:f>Summary!$F$39</c:f>
              <c:strCache>
                <c:ptCount val="1"/>
                <c:pt idx="0">
                  <c:v>Ultimate loss ratio 2025</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Summary!$B$40:$B$42</c:f>
              <c:strCache>
                <c:ptCount val="3"/>
                <c:pt idx="0">
                  <c:v>Group A</c:v>
                </c:pt>
                <c:pt idx="1">
                  <c:v>Group B</c:v>
                </c:pt>
                <c:pt idx="2">
                  <c:v>Group C</c:v>
                </c:pt>
              </c:strCache>
            </c:strRef>
          </c:cat>
          <c:val>
            <c:numRef>
              <c:f>Summary!$F$40:$F$42</c:f>
              <c:numCache>
                <c:formatCode>0.0%</c:formatCode>
                <c:ptCount val="3"/>
                <c:pt idx="0">
                  <c:v>0.64024143278426882</c:v>
                </c:pt>
                <c:pt idx="1">
                  <c:v>0.67283825401365926</c:v>
                </c:pt>
                <c:pt idx="2">
                  <c:v>0.7508045328402384</c:v>
                </c:pt>
              </c:numCache>
            </c:numRef>
          </c:val>
          <c:extLst>
            <c:ext xmlns:c16="http://schemas.microsoft.com/office/drawing/2014/chart" uri="{C3380CC4-5D6E-409C-BE32-E72D297353CC}">
              <c16:uniqueId val="{00000000-3081-4431-A4D8-68ED6777A219}"/>
            </c:ext>
          </c:extLst>
        </c:ser>
        <c:ser>
          <c:idx val="1"/>
          <c:order val="1"/>
          <c:tx>
            <c:strRef>
              <c:f>Summary!$G$39</c:f>
              <c:strCache>
                <c:ptCount val="1"/>
                <c:pt idx="0">
                  <c:v>Expense ratio</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Summary!$B$40:$B$42</c:f>
              <c:strCache>
                <c:ptCount val="3"/>
                <c:pt idx="0">
                  <c:v>Group A</c:v>
                </c:pt>
                <c:pt idx="1">
                  <c:v>Group B</c:v>
                </c:pt>
                <c:pt idx="2">
                  <c:v>Group C</c:v>
                </c:pt>
              </c:strCache>
            </c:strRef>
          </c:cat>
          <c:val>
            <c:numRef>
              <c:f>Summary!$G$40:$G$42</c:f>
              <c:numCache>
                <c:formatCode>0.0%</c:formatCode>
                <c:ptCount val="3"/>
                <c:pt idx="0">
                  <c:v>0.27</c:v>
                </c:pt>
                <c:pt idx="1">
                  <c:v>0.255</c:v>
                </c:pt>
                <c:pt idx="2">
                  <c:v>0.28999999999999998</c:v>
                </c:pt>
              </c:numCache>
            </c:numRef>
          </c:val>
          <c:extLst>
            <c:ext xmlns:c16="http://schemas.microsoft.com/office/drawing/2014/chart" uri="{C3380CC4-5D6E-409C-BE32-E72D297353CC}">
              <c16:uniqueId val="{00000001-3081-4431-A4D8-68ED6777A219}"/>
            </c:ext>
          </c:extLst>
        </c:ser>
        <c:dLbls>
          <c:showLegendKey val="0"/>
          <c:showVal val="0"/>
          <c:showCatName val="0"/>
          <c:showSerName val="0"/>
          <c:showPercent val="0"/>
          <c:showBubbleSize val="0"/>
        </c:dLbls>
        <c:gapWidth val="150"/>
        <c:overlap val="100"/>
        <c:axId val="93250621"/>
        <c:axId val="95584025"/>
      </c:barChart>
      <c:lineChart>
        <c:grouping val="stacked"/>
        <c:varyColors val="0"/>
        <c:ser>
          <c:idx val="2"/>
          <c:order val="2"/>
          <c:tx>
            <c:strRef>
              <c:f>Summary!$J$39</c:f>
              <c:strCache>
                <c:ptCount val="1"/>
                <c:pt idx="0">
                  <c:v>100% break-even</c:v>
                </c:pt>
              </c:strCache>
            </c:strRef>
          </c:tx>
          <c:spPr>
            <a:ln w="28440">
              <a:solidFill>
                <a:srgbClr val="C00000"/>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Summary!$B$40:$B$42</c:f>
              <c:strCache>
                <c:ptCount val="3"/>
                <c:pt idx="0">
                  <c:v>Group A</c:v>
                </c:pt>
                <c:pt idx="1">
                  <c:v>Group B</c:v>
                </c:pt>
                <c:pt idx="2">
                  <c:v>Group C</c:v>
                </c:pt>
              </c:strCache>
            </c:strRef>
          </c:cat>
          <c:val>
            <c:numRef>
              <c:f>Summary!$J$40:$J$42</c:f>
              <c:numCache>
                <c:formatCode>0.0%</c:formatCode>
                <c:ptCount val="3"/>
                <c:pt idx="0">
                  <c:v>1</c:v>
                </c:pt>
                <c:pt idx="1">
                  <c:v>1</c:v>
                </c:pt>
                <c:pt idx="2">
                  <c:v>1</c:v>
                </c:pt>
              </c:numCache>
            </c:numRef>
          </c:val>
          <c:smooth val="0"/>
          <c:extLst>
            <c:ext xmlns:c16="http://schemas.microsoft.com/office/drawing/2014/chart" uri="{C3380CC4-5D6E-409C-BE32-E72D297353CC}">
              <c16:uniqueId val="{00000002-3081-4431-A4D8-68ED6777A219}"/>
            </c:ext>
          </c:extLst>
        </c:ser>
        <c:dLbls>
          <c:showLegendKey val="0"/>
          <c:showVal val="0"/>
          <c:showCatName val="0"/>
          <c:showSerName val="0"/>
          <c:showPercent val="0"/>
          <c:showBubbleSize val="0"/>
        </c:dLbls>
        <c:hiLowLines>
          <c:spPr>
            <a:ln w="0">
              <a:noFill/>
            </a:ln>
          </c:spPr>
        </c:hiLowLines>
        <c:marker val="1"/>
        <c:smooth val="0"/>
        <c:axId val="93250621"/>
        <c:axId val="95584025"/>
      </c:lineChart>
      <c:catAx>
        <c:axId val="93250621"/>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Rating group</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5584025"/>
        <c:crosses val="autoZero"/>
        <c:auto val="1"/>
        <c:lblAlgn val="ctr"/>
        <c:lblOffset val="100"/>
        <c:noMultiLvlLbl val="0"/>
      </c:catAx>
      <c:valAx>
        <c:axId val="9558402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Ratio</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325062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36</xdr:row>
      <xdr:rowOff>160560</xdr:rowOff>
    </xdr:from>
    <xdr:to>
      <xdr:col>14</xdr:col>
      <xdr:colOff>78840</xdr:colOff>
      <xdr:row>54</xdr:row>
      <xdr:rowOff>76680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2</xdr:row>
      <xdr:rowOff>160920</xdr:rowOff>
    </xdr:from>
    <xdr:to>
      <xdr:col>20</xdr:col>
      <xdr:colOff>4680</xdr:colOff>
      <xdr:row>19</xdr:row>
      <xdr:rowOff>117360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21</xdr:row>
      <xdr:rowOff>14040</xdr:rowOff>
    </xdr:from>
    <xdr:to>
      <xdr:col>20</xdr:col>
      <xdr:colOff>4680</xdr:colOff>
      <xdr:row>38</xdr:row>
      <xdr:rowOff>82800</xdr:rowOff>
    </xdr:to>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0</xdr:colOff>
      <xdr:row>39</xdr:row>
      <xdr:rowOff>27720</xdr:rowOff>
    </xdr:from>
    <xdr:to>
      <xdr:col>20</xdr:col>
      <xdr:colOff>4680</xdr:colOff>
      <xdr:row>56</xdr:row>
      <xdr:rowOff>209160</xdr:rowOff>
    </xdr:to>
    <xdr:graphicFrame macro="">
      <xdr:nvGraphicFramePr>
        <xdr:cNvPr id="4" name="Chart 3">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58</xdr:row>
      <xdr:rowOff>106200</xdr:rowOff>
    </xdr:from>
    <xdr:to>
      <xdr:col>20</xdr:col>
      <xdr:colOff>4680</xdr:colOff>
      <xdr:row>76</xdr:row>
      <xdr:rowOff>96840</xdr:rowOff>
    </xdr:to>
    <xdr:graphicFrame macro="">
      <xdr:nvGraphicFramePr>
        <xdr:cNvPr id="5" name="Chart 4">
          <a:extLst>
            <a:ext uri="{FF2B5EF4-FFF2-40B4-BE49-F238E27FC236}">
              <a16:creationId xmlns:a16="http://schemas.microsoft.com/office/drawing/2014/main" id="{00000000-0008-0000-0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0</xdr:colOff>
      <xdr:row>78</xdr:row>
      <xdr:rowOff>106200</xdr:rowOff>
    </xdr:from>
    <xdr:to>
      <xdr:col>20</xdr:col>
      <xdr:colOff>4680</xdr:colOff>
      <xdr:row>96</xdr:row>
      <xdr:rowOff>96840</xdr:rowOff>
    </xdr:to>
    <xdr:graphicFrame macro="">
      <xdr:nvGraphicFramePr>
        <xdr:cNvPr id="6" name="Chart 5">
          <a:extLst>
            <a:ext uri="{FF2B5EF4-FFF2-40B4-BE49-F238E27FC236}">
              <a16:creationId xmlns:a16="http://schemas.microsoft.com/office/drawing/2014/main" id="{00000000-0008-0000-0B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C33"/>
  <sheetViews>
    <sheetView showGridLines="0" topLeftCell="A16" zoomScaleNormal="100" workbookViewId="0"/>
  </sheetViews>
  <sheetFormatPr defaultColWidth="8.6640625" defaultRowHeight="14.4" x14ac:dyDescent="0.3"/>
  <cols>
    <col min="1" max="1" width="2" customWidth="1"/>
    <col min="2" max="2" width="34" customWidth="1"/>
    <col min="3" max="3" width="64" customWidth="1"/>
    <col min="4" max="4" width="16" customWidth="1"/>
  </cols>
  <sheetData>
    <row r="1" spans="1:3" x14ac:dyDescent="0.3">
      <c r="A1" s="1"/>
      <c r="B1" s="1"/>
      <c r="C1" s="1"/>
    </row>
    <row r="2" spans="1:3" ht="17.399999999999999" x14ac:dyDescent="0.3">
      <c r="A2" s="1"/>
      <c r="B2" s="2" t="s">
        <v>0</v>
      </c>
      <c r="C2" s="1"/>
    </row>
    <row r="3" spans="1:3" x14ac:dyDescent="0.3">
      <c r="A3" s="1"/>
      <c r="B3" s="3" t="s">
        <v>1</v>
      </c>
      <c r="C3" s="1"/>
    </row>
    <row r="4" spans="1:3" x14ac:dyDescent="0.3">
      <c r="A4" s="1"/>
      <c r="B4" s="4" t="s">
        <v>2</v>
      </c>
      <c r="C4" s="1"/>
    </row>
    <row r="5" spans="1:3" x14ac:dyDescent="0.3">
      <c r="A5" s="1"/>
      <c r="B5" s="1"/>
      <c r="C5" s="1"/>
    </row>
    <row r="6" spans="1:3" x14ac:dyDescent="0.3">
      <c r="A6" s="1"/>
      <c r="B6" s="5" t="s">
        <v>3</v>
      </c>
      <c r="C6" s="6" t="s">
        <v>4</v>
      </c>
    </row>
    <row r="7" spans="1:3" x14ac:dyDescent="0.3">
      <c r="A7" s="1"/>
      <c r="B7" s="1"/>
      <c r="C7" s="6" t="s">
        <v>5</v>
      </c>
    </row>
    <row r="8" spans="1:3" x14ac:dyDescent="0.3">
      <c r="A8" s="1"/>
      <c r="B8" s="1"/>
      <c r="C8" s="6" t="s">
        <v>6</v>
      </c>
    </row>
    <row r="9" spans="1:3" x14ac:dyDescent="0.3">
      <c r="A9" s="1"/>
      <c r="B9" s="1"/>
      <c r="C9" s="1"/>
    </row>
    <row r="10" spans="1:3" x14ac:dyDescent="0.3">
      <c r="A10" s="1"/>
      <c r="B10" s="5" t="s">
        <v>7</v>
      </c>
      <c r="C10" s="1"/>
    </row>
    <row r="11" spans="1:3" x14ac:dyDescent="0.3">
      <c r="A11" s="1"/>
      <c r="B11" s="7" t="s">
        <v>8</v>
      </c>
      <c r="C11" s="6" t="s">
        <v>9</v>
      </c>
    </row>
    <row r="12" spans="1:3" x14ac:dyDescent="0.3">
      <c r="A12" s="1"/>
      <c r="B12" s="7" t="s">
        <v>10</v>
      </c>
      <c r="C12" s="6" t="s">
        <v>11</v>
      </c>
    </row>
    <row r="13" spans="1:3" x14ac:dyDescent="0.3">
      <c r="A13" s="1"/>
      <c r="B13" s="7" t="s">
        <v>12</v>
      </c>
      <c r="C13" s="6" t="s">
        <v>13</v>
      </c>
    </row>
    <row r="14" spans="1:3" x14ac:dyDescent="0.3">
      <c r="A14" s="1"/>
      <c r="B14" s="7" t="s">
        <v>14</v>
      </c>
      <c r="C14" s="6" t="s">
        <v>15</v>
      </c>
    </row>
    <row r="15" spans="1:3" x14ac:dyDescent="0.3">
      <c r="A15" s="1"/>
      <c r="B15" s="7" t="s">
        <v>16</v>
      </c>
      <c r="C15" s="6" t="s">
        <v>17</v>
      </c>
    </row>
    <row r="16" spans="1:3" x14ac:dyDescent="0.3">
      <c r="A16" s="1"/>
      <c r="B16" s="7" t="s">
        <v>18</v>
      </c>
      <c r="C16" s="6" t="s">
        <v>19</v>
      </c>
    </row>
    <row r="17" spans="1:3" x14ac:dyDescent="0.3">
      <c r="A17" s="1"/>
      <c r="B17" s="7" t="s">
        <v>20</v>
      </c>
      <c r="C17" s="6" t="s">
        <v>21</v>
      </c>
    </row>
    <row r="18" spans="1:3" x14ac:dyDescent="0.3">
      <c r="A18" s="1"/>
      <c r="B18" s="7" t="s">
        <v>22</v>
      </c>
      <c r="C18" s="6" t="s">
        <v>23</v>
      </c>
    </row>
    <row r="19" spans="1:3" x14ac:dyDescent="0.3">
      <c r="A19" s="1"/>
      <c r="B19" s="7" t="s">
        <v>24</v>
      </c>
      <c r="C19" s="6" t="s">
        <v>25</v>
      </c>
    </row>
    <row r="20" spans="1:3" x14ac:dyDescent="0.3">
      <c r="A20" s="1"/>
      <c r="B20" s="7" t="s">
        <v>26</v>
      </c>
      <c r="C20" s="6" t="s">
        <v>27</v>
      </c>
    </row>
    <row r="21" spans="1:3" x14ac:dyDescent="0.3">
      <c r="A21" s="1"/>
      <c r="B21" s="7" t="s">
        <v>28</v>
      </c>
      <c r="C21" s="6" t="s">
        <v>29</v>
      </c>
    </row>
    <row r="22" spans="1:3" x14ac:dyDescent="0.3">
      <c r="A22" s="1"/>
      <c r="B22" s="7" t="s">
        <v>30</v>
      </c>
      <c r="C22" s="6" t="s">
        <v>31</v>
      </c>
    </row>
    <row r="23" spans="1:3" x14ac:dyDescent="0.3">
      <c r="A23" s="1"/>
      <c r="B23" s="7" t="s">
        <v>32</v>
      </c>
      <c r="C23" s="6" t="s">
        <v>33</v>
      </c>
    </row>
    <row r="24" spans="1:3" x14ac:dyDescent="0.3">
      <c r="A24" s="1"/>
      <c r="B24" s="1"/>
      <c r="C24" s="1"/>
    </row>
    <row r="25" spans="1:3" x14ac:dyDescent="0.3">
      <c r="A25" s="1"/>
      <c r="B25" s="5" t="s">
        <v>34</v>
      </c>
      <c r="C25" s="1"/>
    </row>
    <row r="26" spans="1:3" x14ac:dyDescent="0.3">
      <c r="A26" s="1"/>
      <c r="B26" s="8" t="s">
        <v>35</v>
      </c>
      <c r="C26" s="6" t="s">
        <v>36</v>
      </c>
    </row>
    <row r="27" spans="1:3" x14ac:dyDescent="0.3">
      <c r="A27" s="1"/>
      <c r="B27" s="6" t="s">
        <v>37</v>
      </c>
      <c r="C27" s="6" t="s">
        <v>38</v>
      </c>
    </row>
    <row r="28" spans="1:3" x14ac:dyDescent="0.3">
      <c r="A28" s="1"/>
      <c r="B28" s="9" t="s">
        <v>39</v>
      </c>
      <c r="C28" s="6" t="s">
        <v>40</v>
      </c>
    </row>
    <row r="29" spans="1:3" x14ac:dyDescent="0.3">
      <c r="A29" s="1"/>
      <c r="B29" s="10" t="s">
        <v>41</v>
      </c>
      <c r="C29" s="6" t="s">
        <v>42</v>
      </c>
    </row>
    <row r="30" spans="1:3" x14ac:dyDescent="0.3">
      <c r="A30" s="1"/>
      <c r="B30" s="11" t="s">
        <v>43</v>
      </c>
      <c r="C30" s="6" t="s">
        <v>44</v>
      </c>
    </row>
    <row r="31" spans="1:3" x14ac:dyDescent="0.3">
      <c r="A31" s="1"/>
      <c r="B31" s="12" t="s">
        <v>45</v>
      </c>
      <c r="C31" s="6" t="s">
        <v>46</v>
      </c>
    </row>
    <row r="32" spans="1:3" x14ac:dyDescent="0.3">
      <c r="A32" s="1"/>
      <c r="B32" s="1"/>
      <c r="C32" s="1"/>
    </row>
    <row r="33" spans="1:3" x14ac:dyDescent="0.3">
      <c r="A33" s="1"/>
      <c r="B33" s="5" t="s">
        <v>47</v>
      </c>
      <c r="C33" s="4" t="s">
        <v>48</v>
      </c>
    </row>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pageSetUpPr fitToPage="1"/>
  </sheetPr>
  <dimension ref="A1:H68"/>
  <sheetViews>
    <sheetView showGridLines="0" zoomScaleNormal="100" workbookViewId="0">
      <pane xSplit="2" ySplit="1" topLeftCell="C26" activePane="bottomRight" state="frozen"/>
      <selection pane="topRight" activeCell="C1" sqref="C1"/>
      <selection pane="bottomLeft" activeCell="A2" sqref="A2"/>
      <selection pane="bottomRight"/>
    </sheetView>
  </sheetViews>
  <sheetFormatPr defaultColWidth="8.6640625" defaultRowHeight="14.4" x14ac:dyDescent="0.3"/>
  <cols>
    <col min="1" max="1" width="2" customWidth="1"/>
    <col min="2" max="2" width="16" customWidth="1"/>
    <col min="3" max="8" width="11" customWidth="1"/>
    <col min="9" max="9" width="3" customWidth="1"/>
    <col min="10" max="10" width="52" customWidth="1"/>
  </cols>
  <sheetData>
    <row r="1" spans="1:8" ht="17.399999999999999" x14ac:dyDescent="0.3">
      <c r="A1" s="1"/>
      <c r="B1" s="2" t="s">
        <v>49</v>
      </c>
      <c r="C1" s="1"/>
      <c r="D1" s="1"/>
      <c r="E1" s="1"/>
      <c r="F1" s="1"/>
      <c r="G1" s="1"/>
      <c r="H1" s="1"/>
    </row>
    <row r="2" spans="1:8" x14ac:dyDescent="0.3">
      <c r="A2" s="1"/>
      <c r="B2" s="4" t="s">
        <v>50</v>
      </c>
      <c r="C2" s="1"/>
      <c r="D2" s="1"/>
      <c r="E2" s="1"/>
      <c r="F2" s="1"/>
      <c r="G2" s="1"/>
      <c r="H2" s="1"/>
    </row>
    <row r="3" spans="1:8" x14ac:dyDescent="0.3">
      <c r="A3" s="1"/>
      <c r="B3" s="4" t="s">
        <v>51</v>
      </c>
      <c r="C3" s="1"/>
      <c r="D3" s="1"/>
      <c r="E3" s="1"/>
      <c r="F3" s="1"/>
      <c r="G3" s="1"/>
      <c r="H3" s="1"/>
    </row>
    <row r="4" spans="1:8" x14ac:dyDescent="0.3">
      <c r="A4" s="1"/>
      <c r="B4" s="1"/>
      <c r="C4" s="1"/>
      <c r="D4" s="1"/>
      <c r="E4" s="1"/>
      <c r="F4" s="1"/>
      <c r="G4" s="1"/>
      <c r="H4" s="1"/>
    </row>
    <row r="5" spans="1:8" x14ac:dyDescent="0.3">
      <c r="A5" s="1"/>
      <c r="B5" s="5" t="s">
        <v>52</v>
      </c>
      <c r="C5" s="1"/>
      <c r="D5" s="1"/>
      <c r="E5" s="1"/>
      <c r="F5" s="1"/>
      <c r="G5" s="1"/>
      <c r="H5" s="1"/>
    </row>
    <row r="6" spans="1:8" x14ac:dyDescent="0.3">
      <c r="A6" s="1"/>
      <c r="B6" s="4" t="s">
        <v>53</v>
      </c>
      <c r="C6" s="1"/>
      <c r="D6" s="1"/>
      <c r="E6" s="1"/>
      <c r="F6" s="1"/>
      <c r="G6" s="1"/>
      <c r="H6" s="1"/>
    </row>
    <row r="7" spans="1:8" x14ac:dyDescent="0.3">
      <c r="A7" s="1"/>
      <c r="B7" s="1"/>
      <c r="C7" s="1"/>
      <c r="D7" s="1"/>
      <c r="E7" s="1"/>
      <c r="F7" s="1"/>
      <c r="G7" s="1"/>
      <c r="H7" s="1"/>
    </row>
    <row r="8" spans="1:8" x14ac:dyDescent="0.3">
      <c r="A8" s="1"/>
      <c r="B8" s="3" t="s">
        <v>54</v>
      </c>
      <c r="C8" s="1"/>
      <c r="D8" s="1"/>
      <c r="E8" s="1"/>
      <c r="F8" s="1"/>
      <c r="G8" s="1"/>
      <c r="H8" s="1"/>
    </row>
    <row r="9" spans="1:8" x14ac:dyDescent="0.3">
      <c r="A9" s="1"/>
      <c r="B9" s="13" t="s">
        <v>55</v>
      </c>
      <c r="C9" s="13" t="s">
        <v>56</v>
      </c>
      <c r="D9" s="13" t="s">
        <v>57</v>
      </c>
      <c r="E9" s="13" t="s">
        <v>58</v>
      </c>
      <c r="F9" s="13" t="s">
        <v>59</v>
      </c>
      <c r="G9" s="13" t="s">
        <v>60</v>
      </c>
      <c r="H9" s="13" t="s">
        <v>61</v>
      </c>
    </row>
    <row r="10" spans="1:8" x14ac:dyDescent="0.3">
      <c r="A10" s="1"/>
      <c r="B10" s="14" t="s">
        <v>62</v>
      </c>
      <c r="C10" s="15">
        <v>960.7</v>
      </c>
      <c r="D10" s="15">
        <v>1755.3</v>
      </c>
      <c r="E10" s="15">
        <v>2087.5</v>
      </c>
      <c r="F10" s="15">
        <v>2271</v>
      </c>
      <c r="G10" s="15">
        <v>2344.6</v>
      </c>
      <c r="H10" s="15">
        <v>2432.5</v>
      </c>
    </row>
    <row r="11" spans="1:8" x14ac:dyDescent="0.3">
      <c r="A11" s="1"/>
      <c r="B11" s="14" t="s">
        <v>63</v>
      </c>
      <c r="C11" s="15">
        <v>951.5</v>
      </c>
      <c r="D11" s="15">
        <v>1752.7</v>
      </c>
      <c r="E11" s="15">
        <v>2106</v>
      </c>
      <c r="F11" s="15">
        <v>2326.4</v>
      </c>
      <c r="G11" s="15">
        <v>2437.6999999999998</v>
      </c>
      <c r="H11" s="16"/>
    </row>
    <row r="12" spans="1:8" x14ac:dyDescent="0.3">
      <c r="A12" s="1"/>
      <c r="B12" s="14" t="s">
        <v>64</v>
      </c>
      <c r="C12" s="15">
        <v>1459.8</v>
      </c>
      <c r="D12" s="15">
        <v>2147.4</v>
      </c>
      <c r="E12" s="15">
        <v>2643.7</v>
      </c>
      <c r="F12" s="15">
        <v>2612</v>
      </c>
      <c r="G12" s="16"/>
      <c r="H12" s="16"/>
    </row>
    <row r="13" spans="1:8" x14ac:dyDescent="0.3">
      <c r="A13" s="1"/>
      <c r="B13" s="14" t="s">
        <v>65</v>
      </c>
      <c r="C13" s="15">
        <v>1306.2</v>
      </c>
      <c r="D13" s="15" t="s">
        <v>66</v>
      </c>
      <c r="E13" s="15">
        <v>2705.1</v>
      </c>
      <c r="F13" s="16"/>
      <c r="G13" s="16"/>
      <c r="H13" s="16"/>
    </row>
    <row r="14" spans="1:8" x14ac:dyDescent="0.3">
      <c r="A14" s="1"/>
      <c r="B14" s="14" t="s">
        <v>67</v>
      </c>
      <c r="C14" s="15">
        <v>1423.4</v>
      </c>
      <c r="D14" s="15">
        <v>2305.4</v>
      </c>
      <c r="E14" s="16"/>
      <c r="F14" s="16"/>
      <c r="G14" s="16"/>
      <c r="H14" s="16"/>
    </row>
    <row r="15" spans="1:8" x14ac:dyDescent="0.3">
      <c r="A15" s="1"/>
      <c r="B15" s="14" t="s">
        <v>68</v>
      </c>
      <c r="C15" s="15">
        <v>1525.9</v>
      </c>
      <c r="D15" s="16"/>
      <c r="E15" s="16"/>
      <c r="F15" s="16"/>
      <c r="G15" s="16"/>
      <c r="H15" s="16"/>
    </row>
    <row r="16" spans="1:8" x14ac:dyDescent="0.3">
      <c r="A16" s="1"/>
      <c r="B16" s="1"/>
      <c r="C16" s="1"/>
      <c r="D16" s="1"/>
      <c r="E16" s="1"/>
      <c r="F16" s="1"/>
      <c r="G16" s="1"/>
      <c r="H16" s="1"/>
    </row>
    <row r="17" spans="1:8" x14ac:dyDescent="0.3">
      <c r="A17" s="1"/>
      <c r="B17" s="1"/>
      <c r="C17" s="1"/>
      <c r="D17" s="1"/>
      <c r="E17" s="1"/>
      <c r="F17" s="1"/>
      <c r="G17" s="1"/>
      <c r="H17" s="1"/>
    </row>
    <row r="18" spans="1:8" x14ac:dyDescent="0.3">
      <c r="A18" s="1"/>
      <c r="B18" s="3" t="s">
        <v>69</v>
      </c>
      <c r="C18" s="1"/>
      <c r="D18" s="1"/>
      <c r="E18" s="1"/>
      <c r="F18" s="1"/>
      <c r="G18" s="1"/>
      <c r="H18" s="1"/>
    </row>
    <row r="19" spans="1:8" x14ac:dyDescent="0.3">
      <c r="A19" s="1"/>
      <c r="B19" s="13" t="s">
        <v>55</v>
      </c>
      <c r="C19" s="13" t="s">
        <v>56</v>
      </c>
      <c r="D19" s="13" t="s">
        <v>57</v>
      </c>
      <c r="E19" s="13" t="s">
        <v>58</v>
      </c>
      <c r="F19" s="13" t="s">
        <v>59</v>
      </c>
      <c r="G19" s="13" t="s">
        <v>60</v>
      </c>
      <c r="H19" s="13" t="s">
        <v>61</v>
      </c>
    </row>
    <row r="20" spans="1:8" x14ac:dyDescent="0.3">
      <c r="A20" s="1"/>
      <c r="B20" s="14" t="s">
        <v>62</v>
      </c>
      <c r="C20" s="15">
        <v>630.70000000000005</v>
      </c>
      <c r="D20" s="15">
        <v>1200.0999999999999</v>
      </c>
      <c r="E20" s="15">
        <v>1455.9</v>
      </c>
      <c r="F20" s="15">
        <v>1629.2</v>
      </c>
      <c r="G20" s="15">
        <v>1815</v>
      </c>
      <c r="H20" s="15">
        <v>1851.3</v>
      </c>
    </row>
    <row r="21" spans="1:8" x14ac:dyDescent="0.3">
      <c r="A21" s="1"/>
      <c r="B21" s="14" t="s">
        <v>63</v>
      </c>
      <c r="C21" s="15">
        <v>681.6</v>
      </c>
      <c r="D21" s="15">
        <v>1386.2</v>
      </c>
      <c r="E21" s="15"/>
      <c r="F21" s="15">
        <v>2000.7</v>
      </c>
      <c r="G21" s="15">
        <v>2106.4</v>
      </c>
      <c r="H21" s="16"/>
    </row>
    <row r="22" spans="1:8" x14ac:dyDescent="0.3">
      <c r="A22" s="1"/>
      <c r="B22" s="14" t="s">
        <v>64</v>
      </c>
      <c r="C22" s="15">
        <v>778.7</v>
      </c>
      <c r="D22" s="15">
        <v>1456.6</v>
      </c>
      <c r="E22" s="15">
        <v>1941.2</v>
      </c>
      <c r="F22" s="15">
        <v>2119.6</v>
      </c>
      <c r="G22" s="16"/>
      <c r="H22" s="16"/>
    </row>
    <row r="23" spans="1:8" x14ac:dyDescent="0.3">
      <c r="A23" s="1"/>
      <c r="B23" s="14" t="s">
        <v>65</v>
      </c>
      <c r="C23" s="15">
        <v>757.7</v>
      </c>
      <c r="D23" s="15">
        <v>1549</v>
      </c>
      <c r="E23" s="15">
        <v>1982.1</v>
      </c>
      <c r="F23" s="16"/>
      <c r="G23" s="16"/>
      <c r="H23" s="16"/>
    </row>
    <row r="24" spans="1:8" x14ac:dyDescent="0.3">
      <c r="A24" s="1"/>
      <c r="B24" s="14" t="s">
        <v>67</v>
      </c>
      <c r="C24" s="15">
        <v>960.5</v>
      </c>
      <c r="D24" s="15">
        <v>1694.4</v>
      </c>
      <c r="E24" s="16"/>
      <c r="F24" s="16"/>
      <c r="G24" s="16"/>
      <c r="H24" s="16"/>
    </row>
    <row r="25" spans="1:8" x14ac:dyDescent="0.3">
      <c r="A25" s="1"/>
      <c r="B25" s="14" t="s">
        <v>68</v>
      </c>
      <c r="C25" s="15">
        <v>907</v>
      </c>
      <c r="D25" s="16"/>
      <c r="E25" s="16"/>
      <c r="F25" s="16"/>
      <c r="G25" s="16"/>
      <c r="H25" s="16"/>
    </row>
    <row r="26" spans="1:8" x14ac:dyDescent="0.3">
      <c r="A26" s="1"/>
      <c r="B26" s="1"/>
      <c r="C26" s="1"/>
      <c r="D26" s="1"/>
      <c r="E26" s="1"/>
      <c r="F26" s="1"/>
      <c r="G26" s="1"/>
      <c r="H26" s="1"/>
    </row>
    <row r="27" spans="1:8" x14ac:dyDescent="0.3">
      <c r="A27" s="1"/>
      <c r="B27" s="1"/>
      <c r="C27" s="1"/>
      <c r="D27" s="1"/>
      <c r="E27" s="1"/>
      <c r="F27" s="1"/>
      <c r="G27" s="1"/>
      <c r="H27" s="1"/>
    </row>
    <row r="28" spans="1:8" x14ac:dyDescent="0.3">
      <c r="A28" s="1"/>
      <c r="B28" s="3" t="s">
        <v>70</v>
      </c>
      <c r="C28" s="1"/>
      <c r="D28" s="1"/>
      <c r="E28" s="1"/>
      <c r="F28" s="1"/>
      <c r="G28" s="1"/>
      <c r="H28" s="1"/>
    </row>
    <row r="29" spans="1:8" x14ac:dyDescent="0.3">
      <c r="A29" s="1"/>
      <c r="B29" s="13" t="s">
        <v>55</v>
      </c>
      <c r="C29" s="13" t="s">
        <v>56</v>
      </c>
      <c r="D29" s="13" t="s">
        <v>57</v>
      </c>
      <c r="E29" s="13" t="s">
        <v>58</v>
      </c>
      <c r="F29" s="13" t="s">
        <v>59</v>
      </c>
      <c r="G29" s="13" t="s">
        <v>60</v>
      </c>
      <c r="H29" s="13" t="s">
        <v>61</v>
      </c>
    </row>
    <row r="30" spans="1:8" x14ac:dyDescent="0.3">
      <c r="A30" s="1"/>
      <c r="B30" s="14" t="s">
        <v>62</v>
      </c>
      <c r="C30" s="15">
        <v>321.3</v>
      </c>
      <c r="D30" s="15">
        <v>6865</v>
      </c>
      <c r="E30" s="15">
        <v>959.7</v>
      </c>
      <c r="F30" s="15">
        <v>1162.0999999999999</v>
      </c>
      <c r="G30" s="15">
        <v>1241.5999999999999</v>
      </c>
      <c r="H30" s="15">
        <v>1300.2</v>
      </c>
    </row>
    <row r="31" spans="1:8" x14ac:dyDescent="0.3">
      <c r="A31" s="1"/>
      <c r="B31" s="14" t="s">
        <v>63</v>
      </c>
      <c r="C31" s="15">
        <v>388</v>
      </c>
      <c r="D31" s="15">
        <v>799.2</v>
      </c>
      <c r="E31" s="15">
        <v>1092</v>
      </c>
      <c r="F31" s="15">
        <v>1318.5</v>
      </c>
      <c r="G31" s="15">
        <v>1409.9</v>
      </c>
      <c r="H31" s="16"/>
    </row>
    <row r="32" spans="1:8" x14ac:dyDescent="0.3">
      <c r="A32" s="1"/>
      <c r="B32" s="14" t="s">
        <v>64</v>
      </c>
      <c r="C32" s="15">
        <v>457.3</v>
      </c>
      <c r="D32" s="15">
        <v>1002.9</v>
      </c>
      <c r="E32" s="15">
        <v>1336.5</v>
      </c>
      <c r="F32" s="15">
        <v>1598</v>
      </c>
      <c r="G32" s="16"/>
      <c r="H32" s="16"/>
    </row>
    <row r="33" spans="1:8" x14ac:dyDescent="0.3">
      <c r="A33" s="1"/>
      <c r="B33" s="14" t="s">
        <v>65</v>
      </c>
      <c r="C33" s="15">
        <v>450.7</v>
      </c>
      <c r="D33" s="15">
        <v>947.8</v>
      </c>
      <c r="E33" s="15">
        <v>1260.0999999999999</v>
      </c>
      <c r="F33" s="16"/>
      <c r="G33" s="16"/>
      <c r="H33" s="16"/>
    </row>
    <row r="34" spans="1:8" x14ac:dyDescent="0.3">
      <c r="A34" s="1"/>
      <c r="B34" s="14" t="s">
        <v>67</v>
      </c>
      <c r="C34" s="15">
        <v>491.9</v>
      </c>
      <c r="D34" s="15">
        <v>991.2</v>
      </c>
      <c r="E34" s="16"/>
      <c r="F34" s="16"/>
      <c r="G34" s="16"/>
      <c r="H34" s="16"/>
    </row>
    <row r="35" spans="1:8" x14ac:dyDescent="0.3">
      <c r="A35" s="1"/>
      <c r="B35" s="14" t="s">
        <v>68</v>
      </c>
      <c r="C35" s="15">
        <v>469</v>
      </c>
      <c r="D35" s="16"/>
      <c r="E35" s="16"/>
      <c r="F35" s="16"/>
      <c r="G35" s="16"/>
      <c r="H35" s="16"/>
    </row>
    <row r="36" spans="1:8" x14ac:dyDescent="0.3">
      <c r="A36" s="1"/>
      <c r="B36" s="1"/>
      <c r="C36" s="1"/>
      <c r="D36" s="1"/>
      <c r="E36" s="1"/>
      <c r="F36" s="1"/>
      <c r="G36" s="1"/>
      <c r="H36" s="1"/>
    </row>
    <row r="37" spans="1:8" x14ac:dyDescent="0.3">
      <c r="A37" s="1"/>
      <c r="B37" s="1"/>
      <c r="C37" s="1"/>
      <c r="D37" s="1"/>
      <c r="E37" s="1"/>
      <c r="F37" s="1"/>
      <c r="G37" s="1"/>
      <c r="H37" s="1"/>
    </row>
    <row r="38" spans="1:8" x14ac:dyDescent="0.3">
      <c r="A38" s="1"/>
      <c r="B38" s="5" t="s">
        <v>71</v>
      </c>
      <c r="C38" s="1"/>
      <c r="D38" s="1"/>
      <c r="E38" s="1"/>
      <c r="F38" s="1"/>
      <c r="G38" s="1"/>
      <c r="H38" s="1"/>
    </row>
    <row r="39" spans="1:8" x14ac:dyDescent="0.3">
      <c r="A39" s="1"/>
      <c r="B39" s="4" t="s">
        <v>72</v>
      </c>
      <c r="C39" s="1"/>
      <c r="D39" s="1"/>
      <c r="E39" s="1"/>
      <c r="F39" s="1"/>
      <c r="G39" s="1"/>
      <c r="H39" s="1"/>
    </row>
    <row r="40" spans="1:8" x14ac:dyDescent="0.3">
      <c r="A40" s="1"/>
      <c r="B40" s="13" t="s">
        <v>55</v>
      </c>
      <c r="C40" s="13" t="s">
        <v>73</v>
      </c>
      <c r="D40" s="13" t="s">
        <v>74</v>
      </c>
      <c r="E40" s="13" t="s">
        <v>75</v>
      </c>
      <c r="F40" s="1"/>
      <c r="G40" s="1"/>
      <c r="H40" s="1"/>
    </row>
    <row r="41" spans="1:8" x14ac:dyDescent="0.3">
      <c r="A41" s="1"/>
      <c r="B41" s="14" t="s">
        <v>62</v>
      </c>
      <c r="C41" s="17">
        <v>300</v>
      </c>
      <c r="D41" s="17">
        <v>145</v>
      </c>
      <c r="E41" s="17">
        <v>60</v>
      </c>
      <c r="F41" s="1"/>
      <c r="G41" s="1"/>
      <c r="H41" s="1"/>
    </row>
    <row r="42" spans="1:8" x14ac:dyDescent="0.3">
      <c r="A42" s="1"/>
      <c r="B42" s="14" t="s">
        <v>63</v>
      </c>
      <c r="C42" s="17">
        <v>315</v>
      </c>
      <c r="D42" s="17">
        <v>150</v>
      </c>
      <c r="E42" s="17">
        <v>64</v>
      </c>
      <c r="F42" s="1"/>
      <c r="G42" s="1"/>
      <c r="H42" s="1"/>
    </row>
    <row r="43" spans="1:8" x14ac:dyDescent="0.3">
      <c r="A43" s="1"/>
      <c r="B43" s="14" t="s">
        <v>64</v>
      </c>
      <c r="C43" s="17">
        <v>325</v>
      </c>
      <c r="D43" s="17">
        <v>155</v>
      </c>
      <c r="E43" s="17">
        <v>68</v>
      </c>
      <c r="F43" s="1"/>
      <c r="G43" s="1"/>
      <c r="H43" s="1"/>
    </row>
    <row r="44" spans="1:8" x14ac:dyDescent="0.3">
      <c r="A44" s="1"/>
      <c r="B44" s="14" t="s">
        <v>65</v>
      </c>
      <c r="C44" s="17">
        <v>340</v>
      </c>
      <c r="D44" s="17">
        <v>160</v>
      </c>
      <c r="E44" s="17">
        <v>72</v>
      </c>
      <c r="F44" s="1"/>
      <c r="G44" s="1"/>
      <c r="H44" s="1"/>
    </row>
    <row r="45" spans="1:8" x14ac:dyDescent="0.3">
      <c r="A45" s="1"/>
      <c r="B45" s="14" t="s">
        <v>67</v>
      </c>
      <c r="C45" s="17">
        <v>360</v>
      </c>
      <c r="D45" s="17">
        <v>175</v>
      </c>
      <c r="E45" s="17">
        <v>80</v>
      </c>
      <c r="F45" s="1"/>
      <c r="G45" s="1"/>
      <c r="H45" s="1"/>
    </row>
    <row r="46" spans="1:8" x14ac:dyDescent="0.3">
      <c r="A46" s="1"/>
      <c r="B46" s="14" t="s">
        <v>68</v>
      </c>
      <c r="C46" s="17">
        <v>380</v>
      </c>
      <c r="D46" s="17">
        <v>190</v>
      </c>
      <c r="E46" s="17">
        <v>86</v>
      </c>
      <c r="F46" s="1"/>
      <c r="G46" s="1"/>
      <c r="H46" s="1"/>
    </row>
    <row r="47" spans="1:8" x14ac:dyDescent="0.3">
      <c r="A47" s="1"/>
      <c r="B47" s="1"/>
      <c r="C47" s="1"/>
      <c r="D47" s="1"/>
      <c r="E47" s="1"/>
      <c r="F47" s="1"/>
      <c r="G47" s="1"/>
      <c r="H47" s="1"/>
    </row>
    <row r="48" spans="1:8" x14ac:dyDescent="0.3">
      <c r="A48" s="1"/>
      <c r="B48" s="1"/>
      <c r="C48" s="1"/>
      <c r="D48" s="1"/>
      <c r="E48" s="1"/>
      <c r="F48" s="1"/>
      <c r="G48" s="1"/>
      <c r="H48" s="1"/>
    </row>
    <row r="49" spans="1:8" x14ac:dyDescent="0.3">
      <c r="A49" s="1"/>
      <c r="B49" s="5" t="s">
        <v>76</v>
      </c>
      <c r="C49" s="1"/>
      <c r="D49" s="1"/>
      <c r="E49" s="1"/>
      <c r="F49" s="1"/>
      <c r="G49" s="1"/>
      <c r="H49" s="1"/>
    </row>
    <row r="50" spans="1:8" x14ac:dyDescent="0.3">
      <c r="A50" s="1"/>
      <c r="B50" s="4" t="s">
        <v>77</v>
      </c>
      <c r="C50" s="1"/>
      <c r="D50" s="1"/>
      <c r="E50" s="1"/>
      <c r="F50" s="1"/>
      <c r="G50" s="1"/>
      <c r="H50" s="1"/>
    </row>
    <row r="51" spans="1:8" x14ac:dyDescent="0.3">
      <c r="A51" s="1"/>
      <c r="B51" s="13" t="s">
        <v>55</v>
      </c>
      <c r="C51" s="13" t="s">
        <v>73</v>
      </c>
      <c r="D51" s="13" t="s">
        <v>74</v>
      </c>
      <c r="E51" s="13" t="s">
        <v>75</v>
      </c>
      <c r="F51" s="1"/>
      <c r="G51" s="1"/>
      <c r="H51" s="1"/>
    </row>
    <row r="52" spans="1:8" x14ac:dyDescent="0.3">
      <c r="A52" s="1"/>
      <c r="B52" s="14" t="s">
        <v>62</v>
      </c>
      <c r="C52" s="18">
        <v>0.02</v>
      </c>
      <c r="D52" s="18">
        <v>0.03</v>
      </c>
      <c r="E52" s="18">
        <v>1.4999999999999999E-2</v>
      </c>
      <c r="F52" s="1"/>
      <c r="G52" s="1"/>
      <c r="H52" s="1"/>
    </row>
    <row r="53" spans="1:8" x14ac:dyDescent="0.3">
      <c r="A53" s="1"/>
      <c r="B53" s="14" t="s">
        <v>63</v>
      </c>
      <c r="C53" s="18">
        <v>-1.4999999999999999E-2</v>
      </c>
      <c r="D53" s="18">
        <v>-2.5000000000000001E-2</v>
      </c>
      <c r="E53" s="18">
        <v>-0.03</v>
      </c>
      <c r="F53" s="1"/>
      <c r="G53" s="1"/>
      <c r="H53" s="1"/>
    </row>
    <row r="54" spans="1:8" x14ac:dyDescent="0.3">
      <c r="A54" s="1"/>
      <c r="B54" s="14" t="s">
        <v>64</v>
      </c>
      <c r="C54" s="18">
        <v>0.01</v>
      </c>
      <c r="D54" s="18">
        <v>5.0000000000000001E-3</v>
      </c>
      <c r="E54" s="18">
        <v>0.02</v>
      </c>
      <c r="F54" s="1"/>
      <c r="G54" s="1"/>
      <c r="H54" s="1"/>
    </row>
    <row r="55" spans="1:8" x14ac:dyDescent="0.3">
      <c r="A55" s="1"/>
      <c r="B55" s="14" t="s">
        <v>65</v>
      </c>
      <c r="C55" s="18">
        <v>5.5E-2</v>
      </c>
      <c r="D55" s="18">
        <v>6.5000000000000002E-2</v>
      </c>
      <c r="E55" s="18">
        <v>7.0000000000000007E-2</v>
      </c>
      <c r="F55" s="1"/>
      <c r="G55" s="1"/>
      <c r="H55" s="1"/>
    </row>
    <row r="56" spans="1:8" x14ac:dyDescent="0.3">
      <c r="A56" s="1"/>
      <c r="B56" s="14" t="s">
        <v>67</v>
      </c>
      <c r="C56" s="18">
        <v>7.4999999999999997E-2</v>
      </c>
      <c r="D56" s="18">
        <v>0.09</v>
      </c>
      <c r="E56" s="18">
        <v>1</v>
      </c>
      <c r="F56" s="1"/>
      <c r="G56" s="1"/>
      <c r="H56" s="1"/>
    </row>
    <row r="57" spans="1:8" x14ac:dyDescent="0.3">
      <c r="A57" s="1"/>
      <c r="B57" s="14" t="s">
        <v>68</v>
      </c>
      <c r="C57" s="18">
        <v>3.5000000000000003E-2</v>
      </c>
      <c r="D57" s="18">
        <v>4.4999999999999998E-2</v>
      </c>
      <c r="E57" s="18">
        <v>0.05</v>
      </c>
      <c r="F57" s="1"/>
      <c r="G57" s="1"/>
      <c r="H57" s="1"/>
    </row>
    <row r="58" spans="1:8" x14ac:dyDescent="0.3">
      <c r="A58" s="1"/>
      <c r="B58" s="1"/>
      <c r="C58" s="1"/>
      <c r="D58" s="1"/>
      <c r="E58" s="1"/>
      <c r="F58" s="1"/>
      <c r="G58" s="1"/>
      <c r="H58" s="1"/>
    </row>
    <row r="59" spans="1:8" x14ac:dyDescent="0.3">
      <c r="A59" s="1"/>
      <c r="B59" s="1"/>
      <c r="C59" s="1"/>
      <c r="D59" s="1"/>
      <c r="E59" s="1"/>
      <c r="F59" s="1"/>
      <c r="G59" s="1"/>
      <c r="H59" s="1"/>
    </row>
    <row r="60" spans="1:8" x14ac:dyDescent="0.3">
      <c r="A60" s="1"/>
      <c r="B60" s="5" t="s">
        <v>78</v>
      </c>
      <c r="C60" s="1"/>
      <c r="D60" s="1"/>
      <c r="E60" s="1"/>
      <c r="F60" s="1"/>
      <c r="G60" s="1"/>
      <c r="H60" s="1"/>
    </row>
    <row r="61" spans="1:8" x14ac:dyDescent="0.3">
      <c r="A61" s="1"/>
      <c r="B61" s="4" t="s">
        <v>79</v>
      </c>
      <c r="C61" s="1"/>
      <c r="D61" s="1"/>
      <c r="E61" s="1"/>
      <c r="F61" s="1"/>
      <c r="G61" s="1"/>
      <c r="H61" s="1"/>
    </row>
    <row r="62" spans="1:8" x14ac:dyDescent="0.3">
      <c r="A62" s="1"/>
      <c r="B62" s="13" t="s">
        <v>55</v>
      </c>
      <c r="C62" s="13" t="s">
        <v>73</v>
      </c>
      <c r="D62" s="13" t="s">
        <v>74</v>
      </c>
      <c r="E62" s="13" t="s">
        <v>75</v>
      </c>
      <c r="F62" s="1"/>
      <c r="G62" s="1"/>
      <c r="H62" s="1"/>
    </row>
    <row r="63" spans="1:8" x14ac:dyDescent="0.3">
      <c r="A63" s="1"/>
      <c r="B63" s="14" t="s">
        <v>62</v>
      </c>
      <c r="C63" s="19">
        <v>4200</v>
      </c>
      <c r="D63" s="19">
        <v>3100</v>
      </c>
      <c r="E63" s="19">
        <v>1800</v>
      </c>
      <c r="F63" s="1"/>
      <c r="G63" s="1"/>
      <c r="H63" s="1"/>
    </row>
    <row r="64" spans="1:8" x14ac:dyDescent="0.3">
      <c r="A64" s="1"/>
      <c r="B64" s="14" t="s">
        <v>63</v>
      </c>
      <c r="C64" s="19">
        <v>4450</v>
      </c>
      <c r="D64" s="19">
        <v>3250</v>
      </c>
      <c r="E64" s="19">
        <v>1900</v>
      </c>
      <c r="F64" s="1"/>
      <c r="G64" s="1"/>
      <c r="H64" s="1"/>
    </row>
    <row r="65" spans="1:8" x14ac:dyDescent="0.3">
      <c r="A65" s="1"/>
      <c r="B65" s="14" t="s">
        <v>64</v>
      </c>
      <c r="C65" s="19">
        <v>4600</v>
      </c>
      <c r="D65" s="19">
        <v>3300</v>
      </c>
      <c r="E65" s="19">
        <v>2000</v>
      </c>
      <c r="F65" s="1"/>
      <c r="G65" s="1"/>
      <c r="H65" s="1"/>
    </row>
    <row r="66" spans="1:8" x14ac:dyDescent="0.3">
      <c r="A66" s="1"/>
      <c r="B66" s="14" t="s">
        <v>65</v>
      </c>
      <c r="C66" s="19">
        <v>4900</v>
      </c>
      <c r="D66" s="19">
        <v>3500</v>
      </c>
      <c r="E66" s="19">
        <v>2150</v>
      </c>
      <c r="F66" s="1"/>
      <c r="G66" s="1"/>
      <c r="H66" s="1"/>
    </row>
    <row r="67" spans="1:8" x14ac:dyDescent="0.3">
      <c r="A67" s="1"/>
      <c r="B67" s="14" t="s">
        <v>67</v>
      </c>
      <c r="C67" s="19">
        <v>5350</v>
      </c>
      <c r="D67" s="19">
        <v>3850</v>
      </c>
      <c r="E67" s="19">
        <v>2400</v>
      </c>
      <c r="F67" s="1"/>
      <c r="G67" s="1"/>
      <c r="H67" s="1"/>
    </row>
    <row r="68" spans="1:8" x14ac:dyDescent="0.3">
      <c r="A68" s="1"/>
      <c r="B68" s="14" t="s">
        <v>68</v>
      </c>
      <c r="C68" s="19">
        <v>5700</v>
      </c>
      <c r="D68" s="19">
        <v>4150</v>
      </c>
      <c r="E68" s="19">
        <v>2650</v>
      </c>
      <c r="F68" s="1"/>
      <c r="G68" s="1"/>
      <c r="H68" s="1"/>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pageSetUpPr fitToPage="1"/>
  </sheetPr>
  <dimension ref="A1:AC80"/>
  <sheetViews>
    <sheetView showGridLines="0" zoomScaleNormal="100" workbookViewId="0">
      <pane xSplit="2" ySplit="3" topLeftCell="C4" activePane="bottomRight" state="frozen"/>
      <selection pane="topRight" activeCell="C1" sqref="C1"/>
      <selection pane="bottomLeft" activeCell="A4" sqref="A4"/>
      <selection pane="bottomRight" activeCell="M74" sqref="M74"/>
    </sheetView>
  </sheetViews>
  <sheetFormatPr defaultColWidth="8.6640625" defaultRowHeight="14.4" x14ac:dyDescent="0.3"/>
  <cols>
    <col min="1" max="1" width="2" customWidth="1"/>
    <col min="2" max="2" width="15" customWidth="1"/>
    <col min="3" max="8" width="9.5546875" customWidth="1"/>
    <col min="9" max="9" width="2" customWidth="1"/>
    <col min="10" max="15" width="8" customWidth="1"/>
    <col min="16" max="16" width="2" customWidth="1"/>
    <col min="17" max="22" width="9.5546875" customWidth="1"/>
    <col min="23" max="23" width="2" customWidth="1"/>
    <col min="24" max="29" width="9.5546875" customWidth="1"/>
    <col min="30" max="30" width="3" customWidth="1"/>
    <col min="31" max="31" width="46" customWidth="1"/>
  </cols>
  <sheetData>
    <row r="1" spans="1:29" ht="17.399999999999999" x14ac:dyDescent="0.3">
      <c r="A1" s="1"/>
      <c r="B1" s="2" t="s">
        <v>80</v>
      </c>
      <c r="C1" s="1"/>
      <c r="D1" s="1"/>
      <c r="E1" s="1"/>
      <c r="F1" s="1"/>
      <c r="G1" s="1"/>
      <c r="H1" s="1"/>
      <c r="I1" s="1"/>
      <c r="J1" s="1"/>
      <c r="K1" s="1"/>
      <c r="L1" s="1"/>
      <c r="M1" s="1"/>
      <c r="N1" s="1"/>
      <c r="O1" s="1"/>
      <c r="P1" s="1"/>
      <c r="Q1" s="1"/>
      <c r="R1" s="1"/>
      <c r="S1" s="1"/>
      <c r="T1" s="1"/>
      <c r="U1" s="1"/>
      <c r="V1" s="1"/>
      <c r="W1" s="1"/>
      <c r="X1" s="1"/>
      <c r="Y1" s="1"/>
      <c r="Z1" s="1"/>
      <c r="AA1" s="1"/>
      <c r="AB1" s="1"/>
      <c r="AC1" s="1"/>
    </row>
    <row r="2" spans="1:29" x14ac:dyDescent="0.3">
      <c r="A2" s="1"/>
      <c r="B2" s="4" t="s">
        <v>81</v>
      </c>
      <c r="C2" s="1"/>
      <c r="D2" s="1"/>
      <c r="E2" s="1"/>
      <c r="F2" s="1"/>
      <c r="G2" s="1"/>
      <c r="H2" s="1"/>
      <c r="I2" s="1"/>
      <c r="J2" s="1"/>
      <c r="K2" s="1"/>
      <c r="L2" s="1"/>
      <c r="M2" s="1"/>
      <c r="N2" s="1"/>
      <c r="O2" s="1"/>
      <c r="P2" s="1"/>
      <c r="Q2" s="1"/>
      <c r="R2" s="1"/>
      <c r="S2" s="1"/>
      <c r="T2" s="1"/>
      <c r="U2" s="1"/>
      <c r="V2" s="1"/>
      <c r="W2" s="1"/>
      <c r="X2" s="1"/>
      <c r="Y2" s="1"/>
      <c r="Z2" s="1"/>
      <c r="AA2" s="1"/>
      <c r="AB2" s="1"/>
      <c r="AC2" s="1"/>
    </row>
    <row r="3" spans="1:29" x14ac:dyDescent="0.3">
      <c r="A3" s="1"/>
      <c r="B3" s="1"/>
      <c r="C3" s="1"/>
      <c r="D3" s="1"/>
      <c r="E3" s="1"/>
      <c r="F3" s="1"/>
      <c r="G3" s="1"/>
      <c r="H3" s="1"/>
      <c r="I3" s="1"/>
      <c r="J3" s="1"/>
      <c r="K3" s="1"/>
      <c r="L3" s="1"/>
      <c r="M3" s="1"/>
      <c r="N3" s="1"/>
      <c r="O3" s="1"/>
      <c r="P3" s="1"/>
      <c r="Q3" s="1"/>
      <c r="R3" s="1"/>
      <c r="S3" s="1"/>
      <c r="T3" s="1"/>
      <c r="U3" s="1"/>
      <c r="V3" s="1"/>
      <c r="W3" s="1"/>
      <c r="X3" s="1"/>
      <c r="Y3" s="1"/>
      <c r="Z3" s="1"/>
      <c r="AA3" s="1"/>
      <c r="AB3" s="1"/>
      <c r="AC3" s="1"/>
    </row>
    <row r="4" spans="1:29" x14ac:dyDescent="0.3">
      <c r="A4" s="1"/>
      <c r="B4" s="5" t="s">
        <v>82</v>
      </c>
      <c r="C4" s="1"/>
      <c r="D4" s="1"/>
      <c r="E4" s="1"/>
      <c r="F4" s="1"/>
      <c r="G4" s="1"/>
      <c r="H4" s="1"/>
      <c r="I4" s="1"/>
      <c r="J4" s="1"/>
      <c r="K4" s="1"/>
      <c r="L4" s="1"/>
      <c r="M4" s="1"/>
      <c r="N4" s="1"/>
      <c r="O4" s="1"/>
      <c r="P4" s="1"/>
      <c r="Q4" s="1"/>
      <c r="R4" s="1"/>
      <c r="S4" s="1"/>
      <c r="T4" s="1"/>
      <c r="U4" s="1"/>
      <c r="V4" s="1"/>
      <c r="W4" s="1"/>
      <c r="X4" s="1"/>
      <c r="Y4" s="1"/>
      <c r="Z4" s="1"/>
      <c r="AA4" s="1"/>
      <c r="AB4" s="1"/>
      <c r="AC4" s="1"/>
    </row>
    <row r="5" spans="1:29" x14ac:dyDescent="0.3">
      <c r="A5" s="1"/>
      <c r="B5" s="7" t="s">
        <v>83</v>
      </c>
      <c r="C5" s="6" t="s">
        <v>84</v>
      </c>
      <c r="D5" s="1"/>
      <c r="E5" s="1"/>
      <c r="F5" s="1"/>
      <c r="G5" s="1"/>
      <c r="H5" s="1"/>
      <c r="I5" s="1"/>
      <c r="J5" s="1"/>
      <c r="K5" s="1"/>
      <c r="L5" s="1"/>
      <c r="M5" s="1"/>
      <c r="N5" s="1"/>
      <c r="O5" s="1"/>
      <c r="P5" s="1"/>
      <c r="Q5" s="1"/>
      <c r="R5" s="1"/>
      <c r="S5" s="1"/>
      <c r="T5" s="1"/>
      <c r="U5" s="1"/>
      <c r="V5" s="1"/>
      <c r="W5" s="1"/>
      <c r="X5" s="1"/>
      <c r="Y5" s="1"/>
      <c r="Z5" s="1"/>
      <c r="AA5" s="1"/>
      <c r="AB5" s="1"/>
      <c r="AC5" s="1"/>
    </row>
    <row r="6" spans="1:29" x14ac:dyDescent="0.3">
      <c r="A6" s="1"/>
      <c r="B6" s="7" t="s">
        <v>85</v>
      </c>
      <c r="C6" s="6" t="s">
        <v>86</v>
      </c>
      <c r="D6" s="1"/>
      <c r="E6" s="1"/>
      <c r="F6" s="1"/>
      <c r="G6" s="1"/>
      <c r="H6" s="1"/>
      <c r="I6" s="1"/>
      <c r="J6" s="1"/>
      <c r="K6" s="1"/>
      <c r="L6" s="1"/>
      <c r="M6" s="1"/>
      <c r="N6" s="1"/>
      <c r="O6" s="1"/>
      <c r="P6" s="1"/>
      <c r="Q6" s="1"/>
      <c r="R6" s="1"/>
      <c r="S6" s="1"/>
      <c r="T6" s="1"/>
      <c r="U6" s="1"/>
      <c r="V6" s="1"/>
      <c r="W6" s="1"/>
      <c r="X6" s="1"/>
      <c r="Y6" s="1"/>
      <c r="Z6" s="1"/>
      <c r="AA6" s="1"/>
      <c r="AB6" s="1"/>
      <c r="AC6" s="1"/>
    </row>
    <row r="7" spans="1:29" x14ac:dyDescent="0.3">
      <c r="A7" s="1"/>
      <c r="B7" s="7" t="s">
        <v>87</v>
      </c>
      <c r="C7" s="6" t="s">
        <v>88</v>
      </c>
      <c r="D7" s="1"/>
      <c r="E7" s="1"/>
      <c r="F7" s="1"/>
      <c r="G7" s="1"/>
      <c r="H7" s="1"/>
      <c r="I7" s="1"/>
      <c r="J7" s="1"/>
      <c r="K7" s="1"/>
      <c r="L7" s="1"/>
      <c r="M7" s="1"/>
      <c r="N7" s="1"/>
      <c r="O7" s="1"/>
      <c r="P7" s="1"/>
      <c r="Q7" s="1"/>
      <c r="R7" s="1"/>
      <c r="S7" s="1"/>
      <c r="T7" s="1"/>
      <c r="U7" s="1"/>
      <c r="V7" s="1"/>
      <c r="W7" s="1"/>
      <c r="X7" s="1"/>
      <c r="Y7" s="1"/>
      <c r="Z7" s="1"/>
      <c r="AA7" s="1"/>
      <c r="AB7" s="1"/>
      <c r="AC7" s="1"/>
    </row>
    <row r="8" spans="1:29" x14ac:dyDescent="0.3">
      <c r="A8" s="1"/>
      <c r="B8" s="7" t="s">
        <v>89</v>
      </c>
      <c r="C8" s="6" t="s">
        <v>90</v>
      </c>
      <c r="D8" s="1"/>
      <c r="E8" s="1"/>
      <c r="F8" s="1"/>
      <c r="G8" s="1"/>
      <c r="H8" s="1"/>
      <c r="I8" s="1"/>
      <c r="J8" s="1"/>
      <c r="K8" s="1"/>
      <c r="L8" s="1"/>
      <c r="M8" s="1"/>
      <c r="N8" s="1"/>
      <c r="O8" s="1"/>
      <c r="P8" s="1"/>
      <c r="Q8" s="1"/>
      <c r="R8" s="1"/>
      <c r="S8" s="1"/>
      <c r="T8" s="1"/>
      <c r="U8" s="1"/>
      <c r="V8" s="1"/>
      <c r="W8" s="1"/>
      <c r="X8" s="1"/>
      <c r="Y8" s="1"/>
      <c r="Z8" s="1"/>
      <c r="AA8" s="1"/>
      <c r="AB8" s="1"/>
      <c r="AC8" s="1"/>
    </row>
    <row r="9" spans="1:29" x14ac:dyDescent="0.3">
      <c r="A9" s="1"/>
      <c r="B9" s="7" t="s">
        <v>91</v>
      </c>
      <c r="C9" s="6" t="s">
        <v>92</v>
      </c>
      <c r="D9" s="1"/>
      <c r="E9" s="1"/>
      <c r="F9" s="1"/>
      <c r="G9" s="1"/>
      <c r="H9" s="1"/>
      <c r="I9" s="1"/>
      <c r="J9" s="1"/>
      <c r="K9" s="1"/>
      <c r="L9" s="1"/>
      <c r="M9" s="1"/>
      <c r="N9" s="1"/>
      <c r="O9" s="1"/>
      <c r="P9" s="1"/>
      <c r="Q9" s="1"/>
      <c r="R9" s="1"/>
      <c r="S9" s="1"/>
      <c r="T9" s="1"/>
      <c r="U9" s="1"/>
      <c r="V9" s="1"/>
      <c r="W9" s="1"/>
      <c r="X9" s="1"/>
      <c r="Y9" s="1"/>
      <c r="Z9" s="1"/>
      <c r="AA9" s="1"/>
      <c r="AB9" s="1"/>
      <c r="AC9" s="1"/>
    </row>
    <row r="10" spans="1:29" x14ac:dyDescent="0.3">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row>
    <row r="11" spans="1:29" x14ac:dyDescent="0.3">
      <c r="A11" s="1"/>
      <c r="B11" s="5" t="s">
        <v>93</v>
      </c>
      <c r="C11" s="1"/>
      <c r="D11" s="1"/>
      <c r="E11" s="1"/>
      <c r="F11" s="1"/>
      <c r="G11" s="1"/>
      <c r="H11" s="1"/>
      <c r="I11" s="1"/>
      <c r="J11" s="1"/>
      <c r="K11" s="1"/>
      <c r="L11" s="1"/>
      <c r="M11" s="1"/>
      <c r="N11" s="1"/>
      <c r="O11" s="1"/>
      <c r="P11" s="1"/>
      <c r="Q11" s="1"/>
      <c r="R11" s="1"/>
      <c r="S11" s="1"/>
      <c r="T11" s="1"/>
      <c r="U11" s="1"/>
      <c r="V11" s="1"/>
      <c r="W11" s="1"/>
      <c r="X11" s="1"/>
      <c r="Y11" s="1"/>
      <c r="Z11" s="1"/>
      <c r="AA11" s="1"/>
      <c r="AB11" s="1"/>
      <c r="AC11" s="1"/>
    </row>
    <row r="12" spans="1:29" x14ac:dyDescent="0.3">
      <c r="A12" s="1"/>
      <c r="B12" s="1"/>
      <c r="C12" s="6" t="s">
        <v>94</v>
      </c>
      <c r="D12" s="1"/>
      <c r="E12" s="1"/>
      <c r="F12" s="1"/>
      <c r="G12" s="1"/>
      <c r="H12" s="1"/>
      <c r="I12" s="1"/>
      <c r="J12" s="1"/>
      <c r="K12" s="1"/>
      <c r="L12" s="1"/>
      <c r="M12" s="1"/>
      <c r="N12" s="1"/>
      <c r="O12" s="1"/>
      <c r="P12" s="1"/>
      <c r="Q12" s="1"/>
      <c r="R12" s="1"/>
      <c r="S12" s="1"/>
      <c r="T12" s="1"/>
      <c r="U12" s="1"/>
      <c r="V12" s="1"/>
      <c r="W12" s="1"/>
      <c r="X12" s="1"/>
      <c r="Y12" s="1"/>
      <c r="Z12" s="1"/>
      <c r="AA12" s="1"/>
      <c r="AB12" s="1"/>
      <c r="AC12" s="1"/>
    </row>
    <row r="13" spans="1:29" x14ac:dyDescent="0.3">
      <c r="A13" s="1"/>
      <c r="B13" s="1"/>
      <c r="C13" s="6" t="s">
        <v>95</v>
      </c>
      <c r="D13" s="1"/>
      <c r="E13" s="1"/>
      <c r="F13" s="1"/>
      <c r="G13" s="1"/>
      <c r="H13" s="1"/>
      <c r="I13" s="1"/>
      <c r="J13" s="1"/>
      <c r="K13" s="1"/>
      <c r="L13" s="1"/>
      <c r="M13" s="1"/>
      <c r="N13" s="1"/>
      <c r="O13" s="1"/>
      <c r="P13" s="1"/>
      <c r="Q13" s="1"/>
      <c r="R13" s="1"/>
      <c r="S13" s="1"/>
      <c r="T13" s="1"/>
      <c r="U13" s="1"/>
      <c r="V13" s="1"/>
      <c r="W13" s="1"/>
      <c r="X13" s="1"/>
      <c r="Y13" s="1"/>
      <c r="Z13" s="1"/>
      <c r="AA13" s="1"/>
      <c r="AB13" s="1"/>
      <c r="AC13" s="1"/>
    </row>
    <row r="14" spans="1:29" x14ac:dyDescent="0.3">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row>
    <row r="15" spans="1:29" x14ac:dyDescent="0.3">
      <c r="A15" s="1"/>
      <c r="B15" s="3" t="s">
        <v>54</v>
      </c>
      <c r="C15" s="1"/>
      <c r="D15" s="1"/>
      <c r="E15" s="1"/>
      <c r="F15" s="1"/>
      <c r="G15" s="1"/>
      <c r="H15" s="1"/>
      <c r="I15" s="1"/>
      <c r="J15" s="1"/>
      <c r="K15" s="1"/>
      <c r="L15" s="1"/>
      <c r="M15" s="1"/>
      <c r="N15" s="1"/>
      <c r="O15" s="1"/>
      <c r="P15" s="1"/>
      <c r="Q15" s="1"/>
      <c r="R15" s="1"/>
      <c r="S15" s="1"/>
      <c r="T15" s="1"/>
      <c r="U15" s="1"/>
      <c r="V15" s="1"/>
      <c r="W15" s="1"/>
      <c r="X15" s="1"/>
      <c r="Y15" s="1"/>
      <c r="Z15" s="1"/>
      <c r="AA15" s="1"/>
      <c r="AB15" s="1"/>
      <c r="AC15" s="1"/>
    </row>
    <row r="16" spans="1:29" x14ac:dyDescent="0.3">
      <c r="A16" s="1"/>
      <c r="B16" s="1"/>
      <c r="C16" s="5" t="s">
        <v>96</v>
      </c>
      <c r="D16" s="1"/>
      <c r="E16" s="1"/>
      <c r="F16" s="1"/>
      <c r="G16" s="1"/>
      <c r="H16" s="1"/>
      <c r="I16" s="1"/>
      <c r="J16" s="5" t="s">
        <v>97</v>
      </c>
      <c r="K16" s="1"/>
      <c r="L16" s="1"/>
      <c r="M16" s="1"/>
      <c r="N16" s="1"/>
      <c r="O16" s="1"/>
      <c r="P16" s="1"/>
      <c r="Q16" s="5" t="s">
        <v>98</v>
      </c>
      <c r="R16" s="1"/>
      <c r="S16" s="1"/>
      <c r="T16" s="1"/>
      <c r="U16" s="1"/>
      <c r="V16" s="1"/>
      <c r="W16" s="1"/>
      <c r="X16" s="5" t="s">
        <v>99</v>
      </c>
      <c r="Y16" s="1"/>
      <c r="Z16" s="1"/>
      <c r="AA16" s="1"/>
      <c r="AB16" s="1"/>
      <c r="AC16" s="1"/>
    </row>
    <row r="17" spans="1:29" x14ac:dyDescent="0.3">
      <c r="A17" s="1"/>
      <c r="B17" s="13" t="s">
        <v>55</v>
      </c>
      <c r="C17" s="13" t="s">
        <v>100</v>
      </c>
      <c r="D17" s="13" t="s">
        <v>101</v>
      </c>
      <c r="E17" s="13" t="s">
        <v>102</v>
      </c>
      <c r="F17" s="13" t="s">
        <v>103</v>
      </c>
      <c r="G17" s="13" t="s">
        <v>104</v>
      </c>
      <c r="H17" s="13" t="s">
        <v>105</v>
      </c>
      <c r="I17" s="1"/>
      <c r="J17" s="13" t="s">
        <v>100</v>
      </c>
      <c r="K17" s="13" t="s">
        <v>101</v>
      </c>
      <c r="L17" s="13" t="s">
        <v>102</v>
      </c>
      <c r="M17" s="13" t="s">
        <v>103</v>
      </c>
      <c r="N17" s="13" t="s">
        <v>104</v>
      </c>
      <c r="O17" s="13" t="s">
        <v>105</v>
      </c>
      <c r="P17" s="1"/>
      <c r="Q17" s="13" t="s">
        <v>100</v>
      </c>
      <c r="R17" s="13" t="s">
        <v>101</v>
      </c>
      <c r="S17" s="13" t="s">
        <v>102</v>
      </c>
      <c r="T17" s="13" t="s">
        <v>103</v>
      </c>
      <c r="U17" s="13" t="s">
        <v>104</v>
      </c>
      <c r="V17" s="13" t="s">
        <v>105</v>
      </c>
      <c r="W17" s="1"/>
      <c r="X17" s="13" t="s">
        <v>100</v>
      </c>
      <c r="Y17" s="13" t="s">
        <v>101</v>
      </c>
      <c r="Z17" s="13" t="s">
        <v>102</v>
      </c>
      <c r="AA17" s="13" t="s">
        <v>103</v>
      </c>
      <c r="AB17" s="13" t="s">
        <v>104</v>
      </c>
      <c r="AC17" s="13" t="s">
        <v>105</v>
      </c>
    </row>
    <row r="18" spans="1:29" x14ac:dyDescent="0.3">
      <c r="A18" s="1"/>
      <c r="B18" s="14" t="s">
        <v>62</v>
      </c>
      <c r="C18" s="20">
        <f>IF('Raw Data'!C10="","",'Raw Data'!C10)</f>
        <v>960.7</v>
      </c>
      <c r="D18" s="20">
        <f>IF('Raw Data'!D10="","",'Raw Data'!D10)</f>
        <v>1755.3</v>
      </c>
      <c r="E18" s="20">
        <f>IF('Raw Data'!E10="","",'Raw Data'!E10)</f>
        <v>2087.5</v>
      </c>
      <c r="F18" s="20">
        <f>IF('Raw Data'!F10="","",'Raw Data'!F10)</f>
        <v>2271</v>
      </c>
      <c r="G18" s="20">
        <f>IF('Raw Data'!G10="","",'Raw Data'!G10)</f>
        <v>2344.6</v>
      </c>
      <c r="H18" s="20">
        <f>IF('Raw Data'!H10="","",'Raw Data'!H10)</f>
        <v>2432.5</v>
      </c>
      <c r="I18" s="1"/>
      <c r="J18" s="21">
        <f t="shared" ref="J18:J23" si="0">IF(ISNUMBER(C18),0,1)</f>
        <v>0</v>
      </c>
      <c r="K18" s="21">
        <f>IF(NOT(ISNUMBER(D18)),1,IF(NOT(ISNUMBER(C18)),0,IF(OR(D18&lt;=C18,IF(C18&lt;=0,TRUE(),D18/C18&gt;Val_ratio_max)),1,0)))</f>
        <v>0</v>
      </c>
      <c r="L18" s="21">
        <f>IF(NOT(ISNUMBER(E18)),1,IF(NOT(ISNUMBER(D18)),0,IF(OR(E18&lt;=D18,IF(D18&lt;=0,TRUE(),E18/D18&gt;Val_ratio_max)),1,0)))</f>
        <v>0</v>
      </c>
      <c r="M18" s="21">
        <f>IF(NOT(ISNUMBER(F18)),1,IF(NOT(ISNUMBER(E18)),0,IF(OR(F18&lt;=E18,IF(E18&lt;=0,TRUE(),F18/E18&gt;Val_ratio_max)),1,0)))</f>
        <v>0</v>
      </c>
      <c r="N18" s="21">
        <f>IF(NOT(ISNUMBER(G18)),1,IF(NOT(ISNUMBER(F18)),0,IF(OR(G18&lt;=F18,IF(F18&lt;=0,TRUE(),G18/F18&gt;Val_ratio_max)),1,0)))</f>
        <v>0</v>
      </c>
      <c r="O18" s="21">
        <f>IF(NOT(ISNUMBER(H18)),1,IF(NOT(ISNUMBER(G18)),0,IF(OR(H18&lt;=G18,IF(G18&lt;=0,TRUE(),H18/G18&gt;Val_ratio_max)),1,0)))</f>
        <v>0</v>
      </c>
      <c r="P18" s="1"/>
      <c r="Q18" s="22">
        <f t="shared" ref="Q18:V18" si="1">IF(J18=1,0,IF(ISNUMBER(C18),C18,0))</f>
        <v>960.7</v>
      </c>
      <c r="R18" s="22">
        <f t="shared" si="1"/>
        <v>1755.3</v>
      </c>
      <c r="S18" s="22">
        <f t="shared" si="1"/>
        <v>2087.5</v>
      </c>
      <c r="T18" s="22">
        <f t="shared" si="1"/>
        <v>2271</v>
      </c>
      <c r="U18" s="22">
        <f t="shared" si="1"/>
        <v>2344.6</v>
      </c>
      <c r="V18" s="22">
        <f t="shared" si="1"/>
        <v>2432.5</v>
      </c>
      <c r="W18" s="1"/>
      <c r="X18" s="23">
        <f t="shared" ref="X18:X23" si="2">IF(J18=0,C18,"CHECK C4")</f>
        <v>960.7</v>
      </c>
      <c r="Y18" s="23">
        <f>IF(K18=0,D18,X18*R$25)</f>
        <v>1755.3</v>
      </c>
      <c r="Z18" s="23">
        <f>IF(L18=0,E18,Y18*S$25)</f>
        <v>2087.5</v>
      </c>
      <c r="AA18" s="23">
        <f>IF(M18=0,F18,Z18*T$25)</f>
        <v>2271</v>
      </c>
      <c r="AB18" s="23">
        <f>IF(N18=0,G18,AA18*U$25)</f>
        <v>2344.6</v>
      </c>
      <c r="AC18" s="23">
        <f>IF(O18=0,H18,AB18*V$25)</f>
        <v>2432.5</v>
      </c>
    </row>
    <row r="19" spans="1:29" x14ac:dyDescent="0.3">
      <c r="A19" s="1"/>
      <c r="B19" s="14" t="s">
        <v>63</v>
      </c>
      <c r="C19" s="20">
        <f>IF('Raw Data'!C11="","",'Raw Data'!C11)</f>
        <v>951.5</v>
      </c>
      <c r="D19" s="20">
        <f>IF('Raw Data'!D11="","",'Raw Data'!D11)</f>
        <v>1752.7</v>
      </c>
      <c r="E19" s="20">
        <f>IF('Raw Data'!E11="","",'Raw Data'!E11)</f>
        <v>2106</v>
      </c>
      <c r="F19" s="20">
        <f>IF('Raw Data'!F11="","",'Raw Data'!F11)</f>
        <v>2326.4</v>
      </c>
      <c r="G19" s="20">
        <f>IF('Raw Data'!G11="","",'Raw Data'!G11)</f>
        <v>2437.6999999999998</v>
      </c>
      <c r="H19" s="24"/>
      <c r="I19" s="1"/>
      <c r="J19" s="21">
        <f t="shared" si="0"/>
        <v>0</v>
      </c>
      <c r="K19" s="21">
        <f>IF(NOT(ISNUMBER(D19)),1,IF(NOT(ISNUMBER(C19)),0,IF(OR(D19&lt;=C19,IF(C19&lt;=0,TRUE(),D19/C19&gt;Val_ratio_max)),1,0)))</f>
        <v>0</v>
      </c>
      <c r="L19" s="21">
        <f>IF(NOT(ISNUMBER(E19)),1,IF(NOT(ISNUMBER(D19)),0,IF(OR(E19&lt;=D19,IF(D19&lt;=0,TRUE(),E19/D19&gt;Val_ratio_max)),1,0)))</f>
        <v>0</v>
      </c>
      <c r="M19" s="21">
        <f>IF(NOT(ISNUMBER(F19)),1,IF(NOT(ISNUMBER(E19)),0,IF(OR(F19&lt;=E19,IF(E19&lt;=0,TRUE(),F19/E19&gt;Val_ratio_max)),1,0)))</f>
        <v>0</v>
      </c>
      <c r="N19" s="21">
        <f>IF(NOT(ISNUMBER(G19)),1,IF(NOT(ISNUMBER(F19)),0,IF(OR(G19&lt;=F19,IF(F19&lt;=0,TRUE(),G19/F19&gt;Val_ratio_max)),1,0)))</f>
        <v>0</v>
      </c>
      <c r="O19" s="24">
        <v>0</v>
      </c>
      <c r="P19" s="1"/>
      <c r="Q19" s="22">
        <f>IF(J19=1,0,IF(ISNUMBER(C19),C19,0))</f>
        <v>951.5</v>
      </c>
      <c r="R19" s="22">
        <f>IF(K19=1,0,IF(ISNUMBER(D19),D19,0))</f>
        <v>1752.7</v>
      </c>
      <c r="S19" s="22">
        <f>IF(L19=1,0,IF(ISNUMBER(E19),E19,0))</f>
        <v>2106</v>
      </c>
      <c r="T19" s="22">
        <f>IF(M19=1,0,IF(ISNUMBER(F19),F19,0))</f>
        <v>2326.4</v>
      </c>
      <c r="U19" s="22">
        <f>IF(N19=1,0,IF(ISNUMBER(G19),G19,0))</f>
        <v>2437.6999999999998</v>
      </c>
      <c r="V19" s="25">
        <v>0</v>
      </c>
      <c r="W19" s="1"/>
      <c r="X19" s="23">
        <f t="shared" si="2"/>
        <v>951.5</v>
      </c>
      <c r="Y19" s="23">
        <f>IF(K19=0,D19,X19*R$25)</f>
        <v>1752.7</v>
      </c>
      <c r="Z19" s="23">
        <f>IF(L19=0,E19,Y19*S$25)</f>
        <v>2106</v>
      </c>
      <c r="AA19" s="23">
        <f>IF(M19=0,F19,Z19*T$25)</f>
        <v>2326.4</v>
      </c>
      <c r="AB19" s="23">
        <f>IF(N19=0,G19,AA19*U$25)</f>
        <v>2437.6999999999998</v>
      </c>
      <c r="AC19" s="24"/>
    </row>
    <row r="20" spans="1:29" x14ac:dyDescent="0.3">
      <c r="A20" s="1"/>
      <c r="B20" s="14" t="s">
        <v>64</v>
      </c>
      <c r="C20" s="20">
        <f>IF('Raw Data'!C12="","",'Raw Data'!C12)</f>
        <v>1459.8</v>
      </c>
      <c r="D20" s="20">
        <f>IF('Raw Data'!D12="","",'Raw Data'!D12)</f>
        <v>2147.4</v>
      </c>
      <c r="E20" s="20">
        <f>IF('Raw Data'!E12="","",'Raw Data'!E12)</f>
        <v>2643.7</v>
      </c>
      <c r="F20" s="20">
        <f>IF('Raw Data'!F12="","",'Raw Data'!F12)</f>
        <v>2612</v>
      </c>
      <c r="G20" s="24"/>
      <c r="H20" s="24"/>
      <c r="I20" s="1"/>
      <c r="J20" s="21">
        <f t="shared" si="0"/>
        <v>0</v>
      </c>
      <c r="K20" s="21">
        <f>IF(NOT(ISNUMBER(D20)),1,IF(NOT(ISNUMBER(C20)),0,IF(OR(D20&lt;=C20,IF(C20&lt;=0,TRUE(),D20/C20&gt;Val_ratio_max)),1,0)))</f>
        <v>0</v>
      </c>
      <c r="L20" s="21">
        <f>IF(NOT(ISNUMBER(E20)),1,IF(NOT(ISNUMBER(D20)),0,IF(OR(E20&lt;=D20,IF(D20&lt;=0,TRUE(),E20/D20&gt;Val_ratio_max)),1,0)))</f>
        <v>0</v>
      </c>
      <c r="M20" s="21">
        <f>IF(NOT(ISNUMBER(F20)),1,IF(NOT(ISNUMBER(E20)),0,IF(OR(F20&lt;=E20,IF(E20&lt;=0,TRUE(),F20/E20&gt;Val_ratio_max)),1,0)))</f>
        <v>1</v>
      </c>
      <c r="N20" s="24">
        <v>0</v>
      </c>
      <c r="O20" s="24">
        <v>0</v>
      </c>
      <c r="P20" s="1"/>
      <c r="Q20" s="22">
        <f>IF(J20=1,0,IF(ISNUMBER(C20),C20,0))</f>
        <v>1459.8</v>
      </c>
      <c r="R20" s="22">
        <f>IF(K20=1,0,IF(ISNUMBER(D20),D20,0))</f>
        <v>2147.4</v>
      </c>
      <c r="S20" s="22">
        <f>IF(L20=1,0,IF(ISNUMBER(E20),E20,0))</f>
        <v>2643.7</v>
      </c>
      <c r="T20" s="22">
        <f>IF(M20=1,0,IF(ISNUMBER(F20),F20,0))</f>
        <v>0</v>
      </c>
      <c r="U20" s="25">
        <v>0</v>
      </c>
      <c r="V20" s="25">
        <v>0</v>
      </c>
      <c r="W20" s="1"/>
      <c r="X20" s="23">
        <f t="shared" si="2"/>
        <v>1459.8</v>
      </c>
      <c r="Y20" s="23">
        <f>IF(K20=0,D20,X20*R$25)</f>
        <v>2147.4</v>
      </c>
      <c r="Z20" s="23">
        <f>IF(L20=0,E20,Y20*S$25)</f>
        <v>2643.7</v>
      </c>
      <c r="AA20" s="23">
        <f>IF(M20=0,F20,Z20*T$25)</f>
        <v>2898.3298867294616</v>
      </c>
      <c r="AB20" s="24"/>
      <c r="AC20" s="24"/>
    </row>
    <row r="21" spans="1:29" x14ac:dyDescent="0.3">
      <c r="A21" s="1"/>
      <c r="B21" s="14" t="s">
        <v>65</v>
      </c>
      <c r="C21" s="20">
        <f>IF('Raw Data'!C13="","",'Raw Data'!C13)</f>
        <v>1306.2</v>
      </c>
      <c r="D21" s="20" t="str">
        <f>IF('Raw Data'!D13="","",'Raw Data'!D13)</f>
        <v>n/a</v>
      </c>
      <c r="E21" s="20">
        <f>IF('Raw Data'!E13="","",'Raw Data'!E13)</f>
        <v>2705.1</v>
      </c>
      <c r="F21" s="24"/>
      <c r="G21" s="24"/>
      <c r="H21" s="24"/>
      <c r="I21" s="1"/>
      <c r="J21" s="21">
        <f t="shared" si="0"/>
        <v>0</v>
      </c>
      <c r="K21" s="21">
        <f>IF(NOT(ISNUMBER(D21)),1,IF(NOT(ISNUMBER(C21)),0,IF(OR(D21&lt;=C21,IF(C21&lt;=0,TRUE(),D21/C21&gt;Val_ratio_max)),1,0)))</f>
        <v>1</v>
      </c>
      <c r="L21" s="21">
        <f>IF(NOT(ISNUMBER(E21)),1,IF(NOT(ISNUMBER(D21)),0,IF(OR(E21&lt;=D21,IF(D21&lt;=0,TRUE(),E21/D21&gt;Val_ratio_max)),1,0)))</f>
        <v>0</v>
      </c>
      <c r="M21" s="24">
        <v>0</v>
      </c>
      <c r="N21" s="24">
        <v>0</v>
      </c>
      <c r="O21" s="24">
        <v>0</v>
      </c>
      <c r="P21" s="1"/>
      <c r="Q21" s="22">
        <f>IF(J21=1,0,IF(ISNUMBER(C21),C21,0))</f>
        <v>1306.2</v>
      </c>
      <c r="R21" s="22">
        <f>IF(K21=1,0,IF(ISNUMBER(D21),D21,0))</f>
        <v>0</v>
      </c>
      <c r="S21" s="22">
        <f>IF(L21=1,0,IF(ISNUMBER(E21),E21,0))</f>
        <v>2705.1</v>
      </c>
      <c r="T21" s="25">
        <v>0</v>
      </c>
      <c r="U21" s="25">
        <v>0</v>
      </c>
      <c r="V21" s="25">
        <v>0</v>
      </c>
      <c r="W21" s="1"/>
      <c r="X21" s="23">
        <f t="shared" si="2"/>
        <v>1306.2</v>
      </c>
      <c r="Y21" s="23">
        <f>IF(K21=0,D21,X21*R$25)</f>
        <v>2168.4107603119655</v>
      </c>
      <c r="Z21" s="23">
        <f>IF(L21=0,E21,Y21*S$25)</f>
        <v>2705.1</v>
      </c>
      <c r="AA21" s="24"/>
      <c r="AB21" s="24"/>
      <c r="AC21" s="24"/>
    </row>
    <row r="22" spans="1:29" x14ac:dyDescent="0.3">
      <c r="A22" s="1"/>
      <c r="B22" s="14" t="s">
        <v>67</v>
      </c>
      <c r="C22" s="20">
        <f>IF('Raw Data'!C14="","",'Raw Data'!C14)</f>
        <v>1423.4</v>
      </c>
      <c r="D22" s="20">
        <f>IF('Raw Data'!D14="","",'Raw Data'!D14)</f>
        <v>2305.4</v>
      </c>
      <c r="E22" s="24"/>
      <c r="F22" s="24"/>
      <c r="G22" s="24"/>
      <c r="H22" s="24"/>
      <c r="I22" s="1"/>
      <c r="J22" s="21">
        <f t="shared" si="0"/>
        <v>0</v>
      </c>
      <c r="K22" s="21">
        <f>IF(NOT(ISNUMBER(D22)),1,IF(NOT(ISNUMBER(C22)),0,IF(OR(D22&lt;=C22,IF(C22&lt;=0,TRUE(),D22/C22&gt;Val_ratio_max)),1,0)))</f>
        <v>0</v>
      </c>
      <c r="L22" s="24">
        <v>0</v>
      </c>
      <c r="M22" s="24">
        <v>0</v>
      </c>
      <c r="N22" s="24">
        <v>0</v>
      </c>
      <c r="O22" s="24">
        <v>0</v>
      </c>
      <c r="P22" s="1"/>
      <c r="Q22" s="22">
        <f>IF(J22=1,0,IF(ISNUMBER(C22),C22,0))</f>
        <v>1423.4</v>
      </c>
      <c r="R22" s="22">
        <f>IF(K22=1,0,IF(ISNUMBER(D22),D22,0))</f>
        <v>2305.4</v>
      </c>
      <c r="S22" s="25">
        <v>0</v>
      </c>
      <c r="T22" s="25">
        <v>0</v>
      </c>
      <c r="U22" s="25">
        <v>0</v>
      </c>
      <c r="V22" s="25">
        <v>0</v>
      </c>
      <c r="W22" s="1"/>
      <c r="X22" s="23">
        <f t="shared" si="2"/>
        <v>1423.4</v>
      </c>
      <c r="Y22" s="23">
        <f>IF(K22=0,D22,X22*R$25)</f>
        <v>2305.4</v>
      </c>
      <c r="Z22" s="24"/>
      <c r="AA22" s="24"/>
      <c r="AB22" s="24"/>
      <c r="AC22" s="24"/>
    </row>
    <row r="23" spans="1:29" x14ac:dyDescent="0.3">
      <c r="A23" s="1"/>
      <c r="B23" s="14" t="s">
        <v>68</v>
      </c>
      <c r="C23" s="20">
        <f>IF('Raw Data'!C15="","",'Raw Data'!C15)</f>
        <v>1525.9</v>
      </c>
      <c r="D23" s="24"/>
      <c r="E23" s="24"/>
      <c r="F23" s="24"/>
      <c r="G23" s="24"/>
      <c r="H23" s="24"/>
      <c r="I23" s="1"/>
      <c r="J23" s="21">
        <f t="shared" si="0"/>
        <v>0</v>
      </c>
      <c r="K23" s="24">
        <v>0</v>
      </c>
      <c r="L23" s="24">
        <v>0</v>
      </c>
      <c r="M23" s="24">
        <v>0</v>
      </c>
      <c r="N23" s="24">
        <v>0</v>
      </c>
      <c r="O23" s="24">
        <v>0</v>
      </c>
      <c r="P23" s="1"/>
      <c r="Q23" s="22">
        <f>IF(J23=1,0,IF(ISNUMBER(C23),C23,0))</f>
        <v>1525.9</v>
      </c>
      <c r="R23" s="25">
        <v>0</v>
      </c>
      <c r="S23" s="25">
        <v>0</v>
      </c>
      <c r="T23" s="25">
        <v>0</v>
      </c>
      <c r="U23" s="25">
        <v>0</v>
      </c>
      <c r="V23" s="25">
        <v>0</v>
      </c>
      <c r="W23" s="1"/>
      <c r="X23" s="23">
        <f t="shared" si="2"/>
        <v>1525.9</v>
      </c>
      <c r="Y23" s="24"/>
      <c r="Z23" s="24"/>
      <c r="AA23" s="24"/>
      <c r="AB23" s="24"/>
      <c r="AC23" s="24"/>
    </row>
    <row r="24" spans="1:29" x14ac:dyDescent="0.3">
      <c r="A24" s="1"/>
      <c r="B24" s="1"/>
      <c r="C24" s="1"/>
      <c r="D24" s="1"/>
      <c r="E24" s="1"/>
      <c r="F24" s="1"/>
      <c r="G24" s="1"/>
      <c r="H24" s="1"/>
      <c r="I24" s="1"/>
      <c r="J24" s="1"/>
      <c r="K24" s="1"/>
      <c r="L24" s="1"/>
      <c r="M24" s="1"/>
      <c r="N24" s="1"/>
      <c r="O24" s="1"/>
      <c r="P24" s="1"/>
      <c r="Q24" s="4" t="s">
        <v>106</v>
      </c>
      <c r="R24" s="26" t="s">
        <v>107</v>
      </c>
      <c r="S24" s="26" t="s">
        <v>108</v>
      </c>
      <c r="T24" s="26" t="s">
        <v>109</v>
      </c>
      <c r="U24" s="26" t="s">
        <v>110</v>
      </c>
      <c r="V24" s="26" t="s">
        <v>111</v>
      </c>
      <c r="W24" s="1"/>
      <c r="X24" s="1"/>
      <c r="Y24" s="1"/>
      <c r="Z24" s="1"/>
      <c r="AA24" s="1"/>
      <c r="AB24" s="1"/>
      <c r="AC24" s="1"/>
    </row>
    <row r="25" spans="1:29" x14ac:dyDescent="0.3">
      <c r="A25" s="1"/>
      <c r="B25" s="7" t="s">
        <v>112</v>
      </c>
      <c r="C25" s="1"/>
      <c r="D25" s="1"/>
      <c r="E25" s="1"/>
      <c r="F25" s="1"/>
      <c r="G25" s="1"/>
      <c r="H25" s="1"/>
      <c r="I25" s="1"/>
      <c r="J25" s="6" t="s">
        <v>113</v>
      </c>
      <c r="K25" s="1"/>
      <c r="L25" s="1"/>
      <c r="M25" s="27">
        <f>SUM(J18:O23)</f>
        <v>2</v>
      </c>
      <c r="N25" s="1"/>
      <c r="O25" s="1"/>
      <c r="P25" s="1"/>
      <c r="Q25" s="1"/>
      <c r="R25" s="28">
        <f>SUMPRODUCT((R18:R23&gt;0)*(Q18:Q23&gt;0)*R18:R23)/SUMPRODUCT((R18:R23&gt;0)*(Q18:Q23&gt;0)*Q18:Q23)</f>
        <v>1.6600909204654459</v>
      </c>
      <c r="S25" s="28">
        <f>SUMPRODUCT((S18:S23&gt;0)*(R18:R23&gt;0)*S18:S23)/SUMPRODUCT((S18:S23&gt;0)*(R18:R23&gt;0)*R18:R23)</f>
        <v>1.208968419563603</v>
      </c>
      <c r="T25" s="28">
        <f>SUMPRODUCT((T18:T23&gt;0)*(S18:S23&gt;0)*T18:T23)/SUMPRODUCT((T18:T23&gt;0)*(S18:S23&gt;0)*S18:S23)</f>
        <v>1.0963157267199235</v>
      </c>
      <c r="U25" s="28">
        <f>SUMPRODUCT((U18:U23&gt;0)*(T18:T23&gt;0)*U18:U23)/SUMPRODUCT((U18:U23&gt;0)*(T18:T23&gt;0)*T18:T23)</f>
        <v>1.0402183843041719</v>
      </c>
      <c r="V25" s="28">
        <f>SUMPRODUCT((V18:V23&gt;0)*(U18:U23&gt;0)*V18:V23)/SUMPRODUCT((V18:V23&gt;0)*(U18:U23&gt;0)*U18:U23)</f>
        <v>1.0374904034803378</v>
      </c>
      <c r="W25" s="1"/>
      <c r="X25" s="1"/>
      <c r="Y25" s="1"/>
      <c r="Z25" s="1"/>
      <c r="AA25" s="1"/>
      <c r="AB25" s="1"/>
      <c r="AC25" s="1"/>
    </row>
    <row r="26" spans="1:29"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spans="1:29"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spans="1:29" x14ac:dyDescent="0.3">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spans="1:29"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spans="1:29"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spans="1:29" x14ac:dyDescent="0.3">
      <c r="A31" s="1"/>
      <c r="B31" s="3" t="s">
        <v>69</v>
      </c>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spans="1:29" x14ac:dyDescent="0.3">
      <c r="A32" s="1"/>
      <c r="B32" s="1"/>
      <c r="C32" s="5" t="s">
        <v>96</v>
      </c>
      <c r="D32" s="1"/>
      <c r="E32" s="1"/>
      <c r="F32" s="1"/>
      <c r="G32" s="1"/>
      <c r="H32" s="1"/>
      <c r="I32" s="1"/>
      <c r="J32" s="5" t="s">
        <v>97</v>
      </c>
      <c r="K32" s="1"/>
      <c r="L32" s="1"/>
      <c r="M32" s="1"/>
      <c r="N32" s="1"/>
      <c r="O32" s="1"/>
      <c r="P32" s="1"/>
      <c r="Q32" s="5" t="s">
        <v>98</v>
      </c>
      <c r="R32" s="1"/>
      <c r="S32" s="1"/>
      <c r="T32" s="1"/>
      <c r="U32" s="1"/>
      <c r="V32" s="1"/>
      <c r="W32" s="1"/>
      <c r="X32" s="5" t="s">
        <v>99</v>
      </c>
      <c r="Y32" s="1"/>
      <c r="Z32" s="1"/>
      <c r="AA32" s="1"/>
      <c r="AB32" s="1"/>
      <c r="AC32" s="1"/>
    </row>
    <row r="33" spans="1:29" x14ac:dyDescent="0.3">
      <c r="A33" s="1"/>
      <c r="B33" s="13" t="s">
        <v>55</v>
      </c>
      <c r="C33" s="13" t="s">
        <v>100</v>
      </c>
      <c r="D33" s="13" t="s">
        <v>101</v>
      </c>
      <c r="E33" s="13" t="s">
        <v>102</v>
      </c>
      <c r="F33" s="13" t="s">
        <v>103</v>
      </c>
      <c r="G33" s="13" t="s">
        <v>104</v>
      </c>
      <c r="H33" s="13" t="s">
        <v>105</v>
      </c>
      <c r="I33" s="1"/>
      <c r="J33" s="13" t="s">
        <v>100</v>
      </c>
      <c r="K33" s="13" t="s">
        <v>101</v>
      </c>
      <c r="L33" s="13" t="s">
        <v>102</v>
      </c>
      <c r="M33" s="13" t="s">
        <v>103</v>
      </c>
      <c r="N33" s="13" t="s">
        <v>104</v>
      </c>
      <c r="O33" s="13" t="s">
        <v>105</v>
      </c>
      <c r="P33" s="1"/>
      <c r="Q33" s="13" t="s">
        <v>100</v>
      </c>
      <c r="R33" s="13" t="s">
        <v>101</v>
      </c>
      <c r="S33" s="13" t="s">
        <v>102</v>
      </c>
      <c r="T33" s="13" t="s">
        <v>103</v>
      </c>
      <c r="U33" s="13" t="s">
        <v>104</v>
      </c>
      <c r="V33" s="13" t="s">
        <v>105</v>
      </c>
      <c r="W33" s="1"/>
      <c r="X33" s="13" t="s">
        <v>100</v>
      </c>
      <c r="Y33" s="13" t="s">
        <v>101</v>
      </c>
      <c r="Z33" s="13" t="s">
        <v>102</v>
      </c>
      <c r="AA33" s="13" t="s">
        <v>103</v>
      </c>
      <c r="AB33" s="13" t="s">
        <v>104</v>
      </c>
      <c r="AC33" s="13" t="s">
        <v>105</v>
      </c>
    </row>
    <row r="34" spans="1:29" x14ac:dyDescent="0.3">
      <c r="A34" s="1"/>
      <c r="B34" s="14" t="s">
        <v>62</v>
      </c>
      <c r="C34" s="20">
        <f>IF('Raw Data'!C20="","",'Raw Data'!C20)</f>
        <v>630.70000000000005</v>
      </c>
      <c r="D34" s="20">
        <f>IF('Raw Data'!D20="","",'Raw Data'!D20)</f>
        <v>1200.0999999999999</v>
      </c>
      <c r="E34" s="20">
        <f>IF('Raw Data'!E20="","",'Raw Data'!E20)</f>
        <v>1455.9</v>
      </c>
      <c r="F34" s="20">
        <f>IF('Raw Data'!F20="","",'Raw Data'!F20)</f>
        <v>1629.2</v>
      </c>
      <c r="G34" s="20">
        <f>IF('Raw Data'!G20="","",'Raw Data'!G20)</f>
        <v>1815</v>
      </c>
      <c r="H34" s="20">
        <f>IF('Raw Data'!H20="","",'Raw Data'!H20)</f>
        <v>1851.3</v>
      </c>
      <c r="I34" s="1"/>
      <c r="J34" s="21">
        <f t="shared" ref="J34:J39" si="3">IF(ISNUMBER(C34),0,1)</f>
        <v>0</v>
      </c>
      <c r="K34" s="21">
        <f>IF(NOT(ISNUMBER(D34)),1,IF(NOT(ISNUMBER(C34)),0,IF(OR(D34&lt;=C34,IF(C34&lt;=0,TRUE(),D34/C34&gt;Val_ratio_max)),1,0)))</f>
        <v>0</v>
      </c>
      <c r="L34" s="21">
        <f>IF(NOT(ISNUMBER(E34)),1,IF(NOT(ISNUMBER(D34)),0,IF(OR(E34&lt;=D34,IF(D34&lt;=0,TRUE(),E34/D34&gt;Val_ratio_max)),1,0)))</f>
        <v>0</v>
      </c>
      <c r="M34" s="21">
        <f>IF(NOT(ISNUMBER(F34)),1,IF(NOT(ISNUMBER(E34)),0,IF(OR(F34&lt;=E34,IF(E34&lt;=0,TRUE(),F34/E34&gt;Val_ratio_max)),1,0)))</f>
        <v>0</v>
      </c>
      <c r="N34" s="21">
        <f>IF(NOT(ISNUMBER(G34)),1,IF(NOT(ISNUMBER(F34)),0,IF(OR(G34&lt;=F34,IF(F34&lt;=0,TRUE(),G34/F34&gt;Val_ratio_max)),1,0)))</f>
        <v>0</v>
      </c>
      <c r="O34" s="21">
        <f>IF(NOT(ISNUMBER(H34)),1,IF(NOT(ISNUMBER(G34)),0,IF(OR(H34&lt;=G34,IF(G34&lt;=0,TRUE(),H34/G34&gt;Val_ratio_max)),1,0)))</f>
        <v>0</v>
      </c>
      <c r="P34" s="1"/>
      <c r="Q34" s="22">
        <f t="shared" ref="Q34:V34" si="4">IF(J34=1,0,IF(ISNUMBER(C34),C34,0))</f>
        <v>630.70000000000005</v>
      </c>
      <c r="R34" s="22">
        <f t="shared" si="4"/>
        <v>1200.0999999999999</v>
      </c>
      <c r="S34" s="22">
        <f t="shared" si="4"/>
        <v>1455.9</v>
      </c>
      <c r="T34" s="22">
        <f t="shared" si="4"/>
        <v>1629.2</v>
      </c>
      <c r="U34" s="22">
        <f t="shared" si="4"/>
        <v>1815</v>
      </c>
      <c r="V34" s="22">
        <f t="shared" si="4"/>
        <v>1851.3</v>
      </c>
      <c r="W34" s="1"/>
      <c r="X34" s="23">
        <f t="shared" ref="X34:X39" si="5">IF(J34=0,C34,"CHECK C4")</f>
        <v>630.70000000000005</v>
      </c>
      <c r="Y34" s="23">
        <f>IF(K34=0,D34,X34*R$41)</f>
        <v>1200.0999999999999</v>
      </c>
      <c r="Z34" s="23">
        <f>IF(L34=0,E34,Y34*S$41)</f>
        <v>1455.9</v>
      </c>
      <c r="AA34" s="23">
        <f>IF(M34=0,F34,Z34*T$41)</f>
        <v>1629.2</v>
      </c>
      <c r="AB34" s="23">
        <f>IF(N34=0,G34,AA34*U$41)</f>
        <v>1815</v>
      </c>
      <c r="AC34" s="23">
        <f>IF(O34=0,H34,AB34*V$41)</f>
        <v>1851.3</v>
      </c>
    </row>
    <row r="35" spans="1:29" x14ac:dyDescent="0.3">
      <c r="A35" s="1"/>
      <c r="B35" s="14" t="s">
        <v>63</v>
      </c>
      <c r="C35" s="20">
        <f>IF('Raw Data'!C21="","",'Raw Data'!C21)</f>
        <v>681.6</v>
      </c>
      <c r="D35" s="20">
        <f>IF('Raw Data'!D21="","",'Raw Data'!D21)</f>
        <v>1386.2</v>
      </c>
      <c r="E35" s="20" t="str">
        <f>IF('Raw Data'!E21="","",'Raw Data'!E21)</f>
        <v/>
      </c>
      <c r="F35" s="20">
        <f>IF('Raw Data'!F21="","",'Raw Data'!F21)</f>
        <v>2000.7</v>
      </c>
      <c r="G35" s="20">
        <f>IF('Raw Data'!G21="","",'Raw Data'!G21)</f>
        <v>2106.4</v>
      </c>
      <c r="H35" s="24"/>
      <c r="I35" s="1"/>
      <c r="J35" s="21">
        <f t="shared" si="3"/>
        <v>0</v>
      </c>
      <c r="K35" s="21">
        <f>IF(NOT(ISNUMBER(D35)),1,IF(NOT(ISNUMBER(C35)),0,IF(OR(D35&lt;=C35,IF(C35&lt;=0,TRUE(),D35/C35&gt;Val_ratio_max)),1,0)))</f>
        <v>0</v>
      </c>
      <c r="L35" s="21">
        <f>IF(NOT(ISNUMBER(E35)),1,IF(NOT(ISNUMBER(D35)),0,IF(OR(E35&lt;=D35,IF(D35&lt;=0,TRUE(),E35/D35&gt;Val_ratio_max)),1,0)))</f>
        <v>1</v>
      </c>
      <c r="M35" s="21">
        <f>IF(NOT(ISNUMBER(F35)),1,IF(NOT(ISNUMBER(E35)),0,IF(OR(F35&lt;=E35,IF(E35&lt;=0,TRUE(),F35/E35&gt;Val_ratio_max)),1,0)))</f>
        <v>0</v>
      </c>
      <c r="N35" s="21">
        <f>IF(NOT(ISNUMBER(G35)),1,IF(NOT(ISNUMBER(F35)),0,IF(OR(G35&lt;=F35,IF(F35&lt;=0,TRUE(),G35/F35&gt;Val_ratio_max)),1,0)))</f>
        <v>0</v>
      </c>
      <c r="O35" s="24">
        <v>0</v>
      </c>
      <c r="P35" s="1"/>
      <c r="Q35" s="22">
        <f>IF(J35=1,0,IF(ISNUMBER(C35),C35,0))</f>
        <v>681.6</v>
      </c>
      <c r="R35" s="22">
        <f>IF(K35=1,0,IF(ISNUMBER(D35),D35,0))</f>
        <v>1386.2</v>
      </c>
      <c r="S35" s="22">
        <f>IF(L35=1,0,IF(ISNUMBER(E35),E35,0))</f>
        <v>0</v>
      </c>
      <c r="T35" s="22">
        <f>IF(M35=1,0,IF(ISNUMBER(F35),F35,0))</f>
        <v>2000.7</v>
      </c>
      <c r="U35" s="22">
        <f>IF(N35=1,0,IF(ISNUMBER(G35),G35,0))</f>
        <v>2106.4</v>
      </c>
      <c r="V35" s="25">
        <v>0</v>
      </c>
      <c r="W35" s="1"/>
      <c r="X35" s="23">
        <f t="shared" si="5"/>
        <v>681.6</v>
      </c>
      <c r="Y35" s="23">
        <f>IF(K35=0,D35,X35*R$41)</f>
        <v>1386.2</v>
      </c>
      <c r="Z35" s="23">
        <f>IF(L35=0,E35,Y35*S$41)</f>
        <v>1772.9859571533875</v>
      </c>
      <c r="AA35" s="23">
        <f>IF(M35=0,F35,Z35*T$41)</f>
        <v>2000.7</v>
      </c>
      <c r="AB35" s="23">
        <f>IF(N35=0,G35,AA35*U$41)</f>
        <v>2106.4</v>
      </c>
      <c r="AC35" s="24"/>
    </row>
    <row r="36" spans="1:29" x14ac:dyDescent="0.3">
      <c r="A36" s="1"/>
      <c r="B36" s="14" t="s">
        <v>64</v>
      </c>
      <c r="C36" s="20">
        <f>IF('Raw Data'!C22="","",'Raw Data'!C22)</f>
        <v>778.7</v>
      </c>
      <c r="D36" s="20">
        <f>IF('Raw Data'!D22="","",'Raw Data'!D22)</f>
        <v>1456.6</v>
      </c>
      <c r="E36" s="20">
        <f>IF('Raw Data'!E22="","",'Raw Data'!E22)</f>
        <v>1941.2</v>
      </c>
      <c r="F36" s="20">
        <f>IF('Raw Data'!F22="","",'Raw Data'!F22)</f>
        <v>2119.6</v>
      </c>
      <c r="G36" s="24"/>
      <c r="H36" s="24"/>
      <c r="I36" s="1"/>
      <c r="J36" s="21">
        <f t="shared" si="3"/>
        <v>0</v>
      </c>
      <c r="K36" s="21">
        <f>IF(NOT(ISNUMBER(D36)),1,IF(NOT(ISNUMBER(C36)),0,IF(OR(D36&lt;=C36,IF(C36&lt;=0,TRUE(),D36/C36&gt;Val_ratio_max)),1,0)))</f>
        <v>0</v>
      </c>
      <c r="L36" s="21">
        <f>IF(NOT(ISNUMBER(E36)),1,IF(NOT(ISNUMBER(D36)),0,IF(OR(E36&lt;=D36,IF(D36&lt;=0,TRUE(),E36/D36&gt;Val_ratio_max)),1,0)))</f>
        <v>0</v>
      </c>
      <c r="M36" s="21">
        <f>IF(NOT(ISNUMBER(F36)),1,IF(NOT(ISNUMBER(E36)),0,IF(OR(F36&lt;=E36,IF(E36&lt;=0,TRUE(),F36/E36&gt;Val_ratio_max)),1,0)))</f>
        <v>0</v>
      </c>
      <c r="N36" s="24">
        <v>0</v>
      </c>
      <c r="O36" s="24">
        <v>0</v>
      </c>
      <c r="P36" s="1"/>
      <c r="Q36" s="22">
        <f>IF(J36=1,0,IF(ISNUMBER(C36),C36,0))</f>
        <v>778.7</v>
      </c>
      <c r="R36" s="22">
        <f>IF(K36=1,0,IF(ISNUMBER(D36),D36,0))</f>
        <v>1456.6</v>
      </c>
      <c r="S36" s="22">
        <f>IF(L36=1,0,IF(ISNUMBER(E36),E36,0))</f>
        <v>1941.2</v>
      </c>
      <c r="T36" s="22">
        <f>IF(M36=1,0,IF(ISNUMBER(F36),F36,0))</f>
        <v>2119.6</v>
      </c>
      <c r="U36" s="25">
        <v>0</v>
      </c>
      <c r="V36" s="25">
        <v>0</v>
      </c>
      <c r="W36" s="1"/>
      <c r="X36" s="23">
        <f t="shared" si="5"/>
        <v>778.7</v>
      </c>
      <c r="Y36" s="23">
        <f>IF(K36=0,D36,X36*R$41)</f>
        <v>1456.6</v>
      </c>
      <c r="Z36" s="23">
        <f>IF(L36=0,E36,Y36*S$41)</f>
        <v>1941.2</v>
      </c>
      <c r="AA36" s="23">
        <f>IF(M36=0,F36,Z36*T$41)</f>
        <v>2119.6</v>
      </c>
      <c r="AB36" s="24"/>
      <c r="AC36" s="24"/>
    </row>
    <row r="37" spans="1:29" x14ac:dyDescent="0.3">
      <c r="A37" s="1"/>
      <c r="B37" s="14" t="s">
        <v>65</v>
      </c>
      <c r="C37" s="20">
        <f>IF('Raw Data'!C23="","",'Raw Data'!C23)</f>
        <v>757.7</v>
      </c>
      <c r="D37" s="20">
        <f>IF('Raw Data'!D23="","",'Raw Data'!D23)</f>
        <v>1549</v>
      </c>
      <c r="E37" s="20">
        <f>IF('Raw Data'!E23="","",'Raw Data'!E23)</f>
        <v>1982.1</v>
      </c>
      <c r="F37" s="24"/>
      <c r="G37" s="24"/>
      <c r="H37" s="24"/>
      <c r="I37" s="1"/>
      <c r="J37" s="21">
        <f t="shared" si="3"/>
        <v>0</v>
      </c>
      <c r="K37" s="21">
        <f>IF(NOT(ISNUMBER(D37)),1,IF(NOT(ISNUMBER(C37)),0,IF(OR(D37&lt;=C37,IF(C37&lt;=0,TRUE(),D37/C37&gt;Val_ratio_max)),1,0)))</f>
        <v>0</v>
      </c>
      <c r="L37" s="21">
        <f>IF(NOT(ISNUMBER(E37)),1,IF(NOT(ISNUMBER(D37)),0,IF(OR(E37&lt;=D37,IF(D37&lt;=0,TRUE(),E37/D37&gt;Val_ratio_max)),1,0)))</f>
        <v>0</v>
      </c>
      <c r="M37" s="24">
        <v>0</v>
      </c>
      <c r="N37" s="24">
        <v>0</v>
      </c>
      <c r="O37" s="24">
        <v>0</v>
      </c>
      <c r="P37" s="1"/>
      <c r="Q37" s="22">
        <f>IF(J37=1,0,IF(ISNUMBER(C37),C37,0))</f>
        <v>757.7</v>
      </c>
      <c r="R37" s="22">
        <f>IF(K37=1,0,IF(ISNUMBER(D37),D37,0))</f>
        <v>1549</v>
      </c>
      <c r="S37" s="22">
        <f>IF(L37=1,0,IF(ISNUMBER(E37),E37,0))</f>
        <v>1982.1</v>
      </c>
      <c r="T37" s="25">
        <v>0</v>
      </c>
      <c r="U37" s="25">
        <v>0</v>
      </c>
      <c r="V37" s="25">
        <v>0</v>
      </c>
      <c r="W37" s="1"/>
      <c r="X37" s="23">
        <f t="shared" si="5"/>
        <v>757.7</v>
      </c>
      <c r="Y37" s="23">
        <f>IF(K37=0,D37,X37*R$41)</f>
        <v>1549</v>
      </c>
      <c r="Z37" s="23">
        <f>IF(L37=0,E37,Y37*S$41)</f>
        <v>1982.1</v>
      </c>
      <c r="AA37" s="24"/>
      <c r="AB37" s="24"/>
      <c r="AC37" s="24"/>
    </row>
    <row r="38" spans="1:29" x14ac:dyDescent="0.3">
      <c r="A38" s="1"/>
      <c r="B38" s="14" t="s">
        <v>67</v>
      </c>
      <c r="C38" s="20">
        <f>IF('Raw Data'!C24="","",'Raw Data'!C24)</f>
        <v>960.5</v>
      </c>
      <c r="D38" s="20">
        <f>IF('Raw Data'!D24="","",'Raw Data'!D24)</f>
        <v>1694.4</v>
      </c>
      <c r="E38" s="24"/>
      <c r="F38" s="24"/>
      <c r="G38" s="24"/>
      <c r="H38" s="24"/>
      <c r="I38" s="1"/>
      <c r="J38" s="21">
        <f t="shared" si="3"/>
        <v>0</v>
      </c>
      <c r="K38" s="21">
        <f>IF(NOT(ISNUMBER(D38)),1,IF(NOT(ISNUMBER(C38)),0,IF(OR(D38&lt;=C38,IF(C38&lt;=0,TRUE(),D38/C38&gt;Val_ratio_max)),1,0)))</f>
        <v>0</v>
      </c>
      <c r="L38" s="24">
        <v>0</v>
      </c>
      <c r="M38" s="24">
        <v>0</v>
      </c>
      <c r="N38" s="24">
        <v>0</v>
      </c>
      <c r="O38" s="24">
        <v>0</v>
      </c>
      <c r="P38" s="1"/>
      <c r="Q38" s="22">
        <f>IF(J38=1,0,IF(ISNUMBER(C38),C38,0))</f>
        <v>960.5</v>
      </c>
      <c r="R38" s="22">
        <f>IF(K38=1,0,IF(ISNUMBER(D38),D38,0))</f>
        <v>1694.4</v>
      </c>
      <c r="S38" s="25">
        <v>0</v>
      </c>
      <c r="T38" s="25">
        <v>0</v>
      </c>
      <c r="U38" s="25">
        <v>0</v>
      </c>
      <c r="V38" s="25">
        <v>0</v>
      </c>
      <c r="W38" s="1"/>
      <c r="X38" s="23">
        <f t="shared" si="5"/>
        <v>960.5</v>
      </c>
      <c r="Y38" s="23">
        <f>IF(K38=0,D38,X38*R$41)</f>
        <v>1694.4</v>
      </c>
      <c r="Z38" s="24"/>
      <c r="AA38" s="24"/>
      <c r="AB38" s="24"/>
      <c r="AC38" s="24"/>
    </row>
    <row r="39" spans="1:29" x14ac:dyDescent="0.3">
      <c r="A39" s="1"/>
      <c r="B39" s="14" t="s">
        <v>68</v>
      </c>
      <c r="C39" s="20">
        <f>IF('Raw Data'!C25="","",'Raw Data'!C25)</f>
        <v>907</v>
      </c>
      <c r="D39" s="24"/>
      <c r="E39" s="24"/>
      <c r="F39" s="24"/>
      <c r="G39" s="24"/>
      <c r="H39" s="24"/>
      <c r="I39" s="1"/>
      <c r="J39" s="21">
        <f t="shared" si="3"/>
        <v>0</v>
      </c>
      <c r="K39" s="24">
        <v>0</v>
      </c>
      <c r="L39" s="24">
        <v>0</v>
      </c>
      <c r="M39" s="24">
        <v>0</v>
      </c>
      <c r="N39" s="24">
        <v>0</v>
      </c>
      <c r="O39" s="24">
        <v>0</v>
      </c>
      <c r="P39" s="1"/>
      <c r="Q39" s="22">
        <f>IF(J39=1,0,IF(ISNUMBER(C39),C39,0))</f>
        <v>907</v>
      </c>
      <c r="R39" s="25">
        <v>0</v>
      </c>
      <c r="S39" s="25">
        <v>0</v>
      </c>
      <c r="T39" s="25">
        <v>0</v>
      </c>
      <c r="U39" s="25">
        <v>0</v>
      </c>
      <c r="V39" s="25">
        <v>0</v>
      </c>
      <c r="W39" s="1"/>
      <c r="X39" s="23">
        <f t="shared" si="5"/>
        <v>907</v>
      </c>
      <c r="Y39" s="24"/>
      <c r="Z39" s="24"/>
      <c r="AA39" s="24"/>
      <c r="AB39" s="24"/>
      <c r="AC39" s="24"/>
    </row>
    <row r="40" spans="1:29" x14ac:dyDescent="0.3">
      <c r="A40" s="1"/>
      <c r="B40" s="1"/>
      <c r="C40" s="1"/>
      <c r="D40" s="1"/>
      <c r="E40" s="1"/>
      <c r="F40" s="1"/>
      <c r="G40" s="1"/>
      <c r="H40" s="1"/>
      <c r="I40" s="1"/>
      <c r="J40" s="1"/>
      <c r="K40" s="1"/>
      <c r="L40" s="1"/>
      <c r="M40" s="1"/>
      <c r="N40" s="1"/>
      <c r="O40" s="1"/>
      <c r="P40" s="1"/>
      <c r="Q40" s="4" t="s">
        <v>106</v>
      </c>
      <c r="R40" s="26" t="s">
        <v>107</v>
      </c>
      <c r="S40" s="26" t="s">
        <v>108</v>
      </c>
      <c r="T40" s="26" t="s">
        <v>109</v>
      </c>
      <c r="U40" s="26" t="s">
        <v>110</v>
      </c>
      <c r="V40" s="26" t="s">
        <v>111</v>
      </c>
      <c r="W40" s="1"/>
      <c r="X40" s="1"/>
      <c r="Y40" s="1"/>
      <c r="Z40" s="1"/>
      <c r="AA40" s="1"/>
      <c r="AB40" s="1"/>
      <c r="AC40" s="1"/>
    </row>
    <row r="41" spans="1:29" x14ac:dyDescent="0.3">
      <c r="A41" s="1"/>
      <c r="B41" s="7" t="s">
        <v>112</v>
      </c>
      <c r="C41" s="1"/>
      <c r="D41" s="1"/>
      <c r="E41" s="1"/>
      <c r="F41" s="1"/>
      <c r="G41" s="1"/>
      <c r="H41" s="1"/>
      <c r="I41" s="1"/>
      <c r="J41" s="6" t="s">
        <v>113</v>
      </c>
      <c r="K41" s="1"/>
      <c r="L41" s="1"/>
      <c r="M41" s="27">
        <f>SUM(J34:O39)</f>
        <v>1</v>
      </c>
      <c r="N41" s="1"/>
      <c r="O41" s="1"/>
      <c r="P41" s="1"/>
      <c r="Q41" s="1"/>
      <c r="R41" s="28">
        <f>SUMPRODUCT((R34:R39&gt;0)*(Q34:Q39&gt;0)*R34:R39)/SUMPRODUCT((R34:R39&gt;0)*(Q34:Q39&gt;0)*Q34:Q39)</f>
        <v>1.912816339388848</v>
      </c>
      <c r="S41" s="28">
        <f>SUMPRODUCT((S34:S39&gt;0)*(R34:R39&gt;0)*S34:S39)/SUMPRODUCT((S34:S39&gt;0)*(R34:R39&gt;0)*R34:R39)</f>
        <v>1.2790260836483822</v>
      </c>
      <c r="T41" s="28">
        <f>SUMPRODUCT((T34:T39&gt;0)*(S34:S39&gt;0)*T34:T39)/SUMPRODUCT((T34:T39&gt;0)*(S34:S39&gt;0)*S34:S39)</f>
        <v>1.1035294810279355</v>
      </c>
      <c r="U41" s="28">
        <f>SUMPRODUCT((U34:U39&gt;0)*(T34:T39&gt;0)*U34:U39)/SUMPRODUCT((U34:U39&gt;0)*(T34:T39&gt;0)*T34:T39)</f>
        <v>1.0803052425686659</v>
      </c>
      <c r="V41" s="28">
        <f>SUMPRODUCT((V34:V39&gt;0)*(U34:U39&gt;0)*V34:V39)/SUMPRODUCT((V34:V39&gt;0)*(U34:U39&gt;0)*U34:U39)</f>
        <v>1.02</v>
      </c>
      <c r="W41" s="1"/>
      <c r="X41" s="1"/>
      <c r="Y41" s="1"/>
      <c r="Z41" s="1"/>
      <c r="AA41" s="1"/>
      <c r="AB41" s="1"/>
      <c r="AC41" s="1"/>
    </row>
    <row r="42" spans="1:29"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x14ac:dyDescent="0.3">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x14ac:dyDescent="0.3">
      <c r="A47" s="1"/>
      <c r="B47" s="3" t="s">
        <v>70</v>
      </c>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x14ac:dyDescent="0.3">
      <c r="A48" s="1"/>
      <c r="B48" s="1"/>
      <c r="C48" s="5" t="s">
        <v>96</v>
      </c>
      <c r="D48" s="1"/>
      <c r="E48" s="1"/>
      <c r="F48" s="1"/>
      <c r="G48" s="1"/>
      <c r="H48" s="1"/>
      <c r="I48" s="1"/>
      <c r="J48" s="5" t="s">
        <v>97</v>
      </c>
      <c r="K48" s="1"/>
      <c r="L48" s="1"/>
      <c r="M48" s="1"/>
      <c r="N48" s="1"/>
      <c r="O48" s="1"/>
      <c r="P48" s="1"/>
      <c r="Q48" s="5" t="s">
        <v>98</v>
      </c>
      <c r="R48" s="1"/>
      <c r="S48" s="1"/>
      <c r="T48" s="1"/>
      <c r="U48" s="1"/>
      <c r="V48" s="1"/>
      <c r="W48" s="1"/>
      <c r="X48" s="5" t="s">
        <v>99</v>
      </c>
      <c r="Y48" s="1"/>
      <c r="Z48" s="1"/>
      <c r="AA48" s="1"/>
      <c r="AB48" s="1"/>
      <c r="AC48" s="1"/>
    </row>
    <row r="49" spans="1:29" x14ac:dyDescent="0.3">
      <c r="A49" s="1"/>
      <c r="B49" s="13" t="s">
        <v>55</v>
      </c>
      <c r="C49" s="13" t="s">
        <v>100</v>
      </c>
      <c r="D49" s="13" t="s">
        <v>101</v>
      </c>
      <c r="E49" s="13" t="s">
        <v>102</v>
      </c>
      <c r="F49" s="13" t="s">
        <v>103</v>
      </c>
      <c r="G49" s="13" t="s">
        <v>104</v>
      </c>
      <c r="H49" s="13" t="s">
        <v>105</v>
      </c>
      <c r="I49" s="1"/>
      <c r="J49" s="13" t="s">
        <v>100</v>
      </c>
      <c r="K49" s="13" t="s">
        <v>101</v>
      </c>
      <c r="L49" s="13" t="s">
        <v>102</v>
      </c>
      <c r="M49" s="13" t="s">
        <v>103</v>
      </c>
      <c r="N49" s="13" t="s">
        <v>104</v>
      </c>
      <c r="O49" s="13" t="s">
        <v>105</v>
      </c>
      <c r="P49" s="1"/>
      <c r="Q49" s="13" t="s">
        <v>100</v>
      </c>
      <c r="R49" s="13" t="s">
        <v>101</v>
      </c>
      <c r="S49" s="13" t="s">
        <v>102</v>
      </c>
      <c r="T49" s="13" t="s">
        <v>103</v>
      </c>
      <c r="U49" s="13" t="s">
        <v>104</v>
      </c>
      <c r="V49" s="13" t="s">
        <v>105</v>
      </c>
      <c r="W49" s="1"/>
      <c r="X49" s="13" t="s">
        <v>100</v>
      </c>
      <c r="Y49" s="13" t="s">
        <v>101</v>
      </c>
      <c r="Z49" s="13" t="s">
        <v>102</v>
      </c>
      <c r="AA49" s="13" t="s">
        <v>103</v>
      </c>
      <c r="AB49" s="13" t="s">
        <v>104</v>
      </c>
      <c r="AC49" s="13" t="s">
        <v>105</v>
      </c>
    </row>
    <row r="50" spans="1:29" x14ac:dyDescent="0.3">
      <c r="A50" s="1"/>
      <c r="B50" s="14" t="s">
        <v>62</v>
      </c>
      <c r="C50" s="20">
        <f>IF('Raw Data'!C30="","",'Raw Data'!C30)</f>
        <v>321.3</v>
      </c>
      <c r="D50" s="20">
        <f>IF('Raw Data'!D30="","",'Raw Data'!D30)</f>
        <v>6865</v>
      </c>
      <c r="E50" s="20">
        <f>IF('Raw Data'!E30="","",'Raw Data'!E30)</f>
        <v>959.7</v>
      </c>
      <c r="F50" s="20">
        <f>IF('Raw Data'!F30="","",'Raw Data'!F30)</f>
        <v>1162.0999999999999</v>
      </c>
      <c r="G50" s="20">
        <f>IF('Raw Data'!G30="","",'Raw Data'!G30)</f>
        <v>1241.5999999999999</v>
      </c>
      <c r="H50" s="20">
        <f>IF('Raw Data'!H30="","",'Raw Data'!H30)</f>
        <v>1300.2</v>
      </c>
      <c r="I50" s="1"/>
      <c r="J50" s="21">
        <f t="shared" ref="J50:J55" si="6">IF(ISNUMBER(C50),0,1)</f>
        <v>0</v>
      </c>
      <c r="K50" s="21">
        <f>IF(NOT(ISNUMBER(D50)),1,IF(NOT(ISNUMBER(C50)),0,IF(OR(D50&lt;=C50,IF(C50&lt;=0,TRUE(),D50/C50&gt;Val_ratio_max)),1,0)))</f>
        <v>1</v>
      </c>
      <c r="L50" s="21">
        <f>IF(NOT(ISNUMBER(E50)),1,IF(NOT(ISNUMBER(D50)),0,IF(OR(E50&lt;=D50,IF(D50&lt;=0,TRUE(),E50/D50&gt;Val_ratio_max)),1,0)))</f>
        <v>1</v>
      </c>
      <c r="M50" s="21">
        <f>IF(NOT(ISNUMBER(F50)),1,IF(NOT(ISNUMBER(E50)),0,IF(OR(F50&lt;=E50,IF(E50&lt;=0,TRUE(),F50/E50&gt;Val_ratio_max)),1,0)))</f>
        <v>0</v>
      </c>
      <c r="N50" s="21">
        <f>IF(NOT(ISNUMBER(G50)),1,IF(NOT(ISNUMBER(F50)),0,IF(OR(G50&lt;=F50,IF(F50&lt;=0,TRUE(),G50/F50&gt;Val_ratio_max)),1,0)))</f>
        <v>0</v>
      </c>
      <c r="O50" s="21">
        <f>IF(NOT(ISNUMBER(H50)),1,IF(NOT(ISNUMBER(G50)),0,IF(OR(H50&lt;=G50,IF(G50&lt;=0,TRUE(),H50/G50&gt;Val_ratio_max)),1,0)))</f>
        <v>0</v>
      </c>
      <c r="P50" s="1"/>
      <c r="Q50" s="22">
        <f t="shared" ref="Q50:V50" si="7">IF(J50=1,0,IF(ISNUMBER(C50),C50,0))</f>
        <v>321.3</v>
      </c>
      <c r="R50" s="22">
        <f t="shared" si="7"/>
        <v>0</v>
      </c>
      <c r="S50" s="22">
        <f t="shared" si="7"/>
        <v>0</v>
      </c>
      <c r="T50" s="22">
        <f t="shared" si="7"/>
        <v>1162.0999999999999</v>
      </c>
      <c r="U50" s="22">
        <f t="shared" si="7"/>
        <v>1241.5999999999999</v>
      </c>
      <c r="V50" s="22">
        <f t="shared" si="7"/>
        <v>1300.2</v>
      </c>
      <c r="W50" s="1"/>
      <c r="X50" s="23">
        <f t="shared" ref="X50:X55" si="8">IF(J50=0,C50,"CHECK C4")</f>
        <v>321.3</v>
      </c>
      <c r="Y50" s="23">
        <f>IF(K50=0,D50,X50*R$57)</f>
        <v>672.3057385759829</v>
      </c>
      <c r="Z50" s="23">
        <f>IF(L50=0,E50,Y50*S$57)</f>
        <v>901.80259184383829</v>
      </c>
      <c r="AA50" s="23">
        <f>IF(M50=0,F50,Z50*T$57)</f>
        <v>1162.0999999999999</v>
      </c>
      <c r="AB50" s="23">
        <f>IF(N50=0,G50,AA50*U$57)</f>
        <v>1241.5999999999999</v>
      </c>
      <c r="AC50" s="23">
        <f>IF(O50=0,H50,AB50*V$57)</f>
        <v>1300.2</v>
      </c>
    </row>
    <row r="51" spans="1:29" x14ac:dyDescent="0.3">
      <c r="A51" s="1"/>
      <c r="B51" s="14" t="s">
        <v>63</v>
      </c>
      <c r="C51" s="20">
        <f>IF('Raw Data'!C31="","",'Raw Data'!C31)</f>
        <v>388</v>
      </c>
      <c r="D51" s="20">
        <f>IF('Raw Data'!D31="","",'Raw Data'!D31)</f>
        <v>799.2</v>
      </c>
      <c r="E51" s="20">
        <f>IF('Raw Data'!E31="","",'Raw Data'!E31)</f>
        <v>1092</v>
      </c>
      <c r="F51" s="20">
        <f>IF('Raw Data'!F31="","",'Raw Data'!F31)</f>
        <v>1318.5</v>
      </c>
      <c r="G51" s="20">
        <f>IF('Raw Data'!G31="","",'Raw Data'!G31)</f>
        <v>1409.9</v>
      </c>
      <c r="H51" s="24"/>
      <c r="I51" s="1"/>
      <c r="J51" s="21">
        <f t="shared" si="6"/>
        <v>0</v>
      </c>
      <c r="K51" s="21">
        <f>IF(NOT(ISNUMBER(D51)),1,IF(NOT(ISNUMBER(C51)),0,IF(OR(D51&lt;=C51,IF(C51&lt;=0,TRUE(),D51/C51&gt;Val_ratio_max)),1,0)))</f>
        <v>0</v>
      </c>
      <c r="L51" s="21">
        <f>IF(NOT(ISNUMBER(E51)),1,IF(NOT(ISNUMBER(D51)),0,IF(OR(E51&lt;=D51,IF(D51&lt;=0,TRUE(),E51/D51&gt;Val_ratio_max)),1,0)))</f>
        <v>0</v>
      </c>
      <c r="M51" s="21">
        <f>IF(NOT(ISNUMBER(F51)),1,IF(NOT(ISNUMBER(E51)),0,IF(OR(F51&lt;=E51,IF(E51&lt;=0,TRUE(),F51/E51&gt;Val_ratio_max)),1,0)))</f>
        <v>0</v>
      </c>
      <c r="N51" s="21">
        <f>IF(NOT(ISNUMBER(G51)),1,IF(NOT(ISNUMBER(F51)),0,IF(OR(G51&lt;=F51,IF(F51&lt;=0,TRUE(),G51/F51&gt;Val_ratio_max)),1,0)))</f>
        <v>0</v>
      </c>
      <c r="O51" s="24">
        <v>0</v>
      </c>
      <c r="P51" s="1"/>
      <c r="Q51" s="22">
        <f>IF(J51=1,0,IF(ISNUMBER(C51),C51,0))</f>
        <v>388</v>
      </c>
      <c r="R51" s="22">
        <f>IF(K51=1,0,IF(ISNUMBER(D51),D51,0))</f>
        <v>799.2</v>
      </c>
      <c r="S51" s="22">
        <f>IF(L51=1,0,IF(ISNUMBER(E51),E51,0))</f>
        <v>1092</v>
      </c>
      <c r="T51" s="22">
        <f>IF(M51=1,0,IF(ISNUMBER(F51),F51,0))</f>
        <v>1318.5</v>
      </c>
      <c r="U51" s="22">
        <f>IF(N51=1,0,IF(ISNUMBER(G51),G51,0))</f>
        <v>1409.9</v>
      </c>
      <c r="V51" s="25">
        <v>0</v>
      </c>
      <c r="W51" s="1"/>
      <c r="X51" s="23">
        <f t="shared" si="8"/>
        <v>388</v>
      </c>
      <c r="Y51" s="23">
        <f>IF(K51=0,D51,X51*R$57)</f>
        <v>799.2</v>
      </c>
      <c r="Z51" s="23">
        <f>IF(L51=0,E51,Y51*S$57)</f>
        <v>1092</v>
      </c>
      <c r="AA51" s="23">
        <f>IF(M51=0,F51,Z51*T$57)</f>
        <v>1318.5</v>
      </c>
      <c r="AB51" s="23">
        <f>IF(N51=0,G51,AA51*U$57)</f>
        <v>1409.9</v>
      </c>
      <c r="AC51" s="24"/>
    </row>
    <row r="52" spans="1:29" x14ac:dyDescent="0.3">
      <c r="A52" s="1"/>
      <c r="B52" s="14" t="s">
        <v>64</v>
      </c>
      <c r="C52" s="20">
        <f>IF('Raw Data'!C32="","",'Raw Data'!C32)</f>
        <v>457.3</v>
      </c>
      <c r="D52" s="20">
        <f>IF('Raw Data'!D32="","",'Raw Data'!D32)</f>
        <v>1002.9</v>
      </c>
      <c r="E52" s="20">
        <f>IF('Raw Data'!E32="","",'Raw Data'!E32)</f>
        <v>1336.5</v>
      </c>
      <c r="F52" s="20">
        <f>IF('Raw Data'!F32="","",'Raw Data'!F32)</f>
        <v>1598</v>
      </c>
      <c r="G52" s="24"/>
      <c r="H52" s="24"/>
      <c r="I52" s="1"/>
      <c r="J52" s="21">
        <f t="shared" si="6"/>
        <v>0</v>
      </c>
      <c r="K52" s="21">
        <f>IF(NOT(ISNUMBER(D52)),1,IF(NOT(ISNUMBER(C52)),0,IF(OR(D52&lt;=C52,IF(C52&lt;=0,TRUE(),D52/C52&gt;Val_ratio_max)),1,0)))</f>
        <v>0</v>
      </c>
      <c r="L52" s="21">
        <f>IF(NOT(ISNUMBER(E52)),1,IF(NOT(ISNUMBER(D52)),0,IF(OR(E52&lt;=D52,IF(D52&lt;=0,TRUE(),E52/D52&gt;Val_ratio_max)),1,0)))</f>
        <v>0</v>
      </c>
      <c r="M52" s="21">
        <f>IF(NOT(ISNUMBER(F52)),1,IF(NOT(ISNUMBER(E52)),0,IF(OR(F52&lt;=E52,IF(E52&lt;=0,TRUE(),F52/E52&gt;Val_ratio_max)),1,0)))</f>
        <v>0</v>
      </c>
      <c r="N52" s="24">
        <v>0</v>
      </c>
      <c r="O52" s="24">
        <v>0</v>
      </c>
      <c r="P52" s="1"/>
      <c r="Q52" s="22">
        <f>IF(J52=1,0,IF(ISNUMBER(C52),C52,0))</f>
        <v>457.3</v>
      </c>
      <c r="R52" s="22">
        <f>IF(K52=1,0,IF(ISNUMBER(D52),D52,0))</f>
        <v>1002.9</v>
      </c>
      <c r="S52" s="22">
        <f>IF(L52=1,0,IF(ISNUMBER(E52),E52,0))</f>
        <v>1336.5</v>
      </c>
      <c r="T52" s="22">
        <f>IF(M52=1,0,IF(ISNUMBER(F52),F52,0))</f>
        <v>1598</v>
      </c>
      <c r="U52" s="25">
        <v>0</v>
      </c>
      <c r="V52" s="25">
        <v>0</v>
      </c>
      <c r="W52" s="1"/>
      <c r="X52" s="23">
        <f t="shared" si="8"/>
        <v>457.3</v>
      </c>
      <c r="Y52" s="23">
        <f>IF(K52=0,D52,X52*R$57)</f>
        <v>1002.9</v>
      </c>
      <c r="Z52" s="23">
        <f>IF(L52=0,E52,Y52*S$57)</f>
        <v>1336.5</v>
      </c>
      <c r="AA52" s="23">
        <f>IF(M52=0,F52,Z52*T$57)</f>
        <v>1598</v>
      </c>
      <c r="AB52" s="24"/>
      <c r="AC52" s="24"/>
    </row>
    <row r="53" spans="1:29" x14ac:dyDescent="0.3">
      <c r="A53" s="1"/>
      <c r="B53" s="14" t="s">
        <v>65</v>
      </c>
      <c r="C53" s="20">
        <f>IF('Raw Data'!C33="","",'Raw Data'!C33)</f>
        <v>450.7</v>
      </c>
      <c r="D53" s="20">
        <f>IF('Raw Data'!D33="","",'Raw Data'!D33)</f>
        <v>947.8</v>
      </c>
      <c r="E53" s="20">
        <f>IF('Raw Data'!E33="","",'Raw Data'!E33)</f>
        <v>1260.0999999999999</v>
      </c>
      <c r="F53" s="24"/>
      <c r="G53" s="24"/>
      <c r="H53" s="24"/>
      <c r="I53" s="1"/>
      <c r="J53" s="21">
        <f t="shared" si="6"/>
        <v>0</v>
      </c>
      <c r="K53" s="21">
        <f>IF(NOT(ISNUMBER(D53)),1,IF(NOT(ISNUMBER(C53)),0,IF(OR(D53&lt;=C53,IF(C53&lt;=0,TRUE(),D53/C53&gt;Val_ratio_max)),1,0)))</f>
        <v>0</v>
      </c>
      <c r="L53" s="21">
        <f>IF(NOT(ISNUMBER(E53)),1,IF(NOT(ISNUMBER(D53)),0,IF(OR(E53&lt;=D53,IF(D53&lt;=0,TRUE(),E53/D53&gt;Val_ratio_max)),1,0)))</f>
        <v>0</v>
      </c>
      <c r="M53" s="24">
        <v>0</v>
      </c>
      <c r="N53" s="24">
        <v>0</v>
      </c>
      <c r="O53" s="24">
        <v>0</v>
      </c>
      <c r="P53" s="1"/>
      <c r="Q53" s="22">
        <f>IF(J53=1,0,IF(ISNUMBER(C53),C53,0))</f>
        <v>450.7</v>
      </c>
      <c r="R53" s="22">
        <f>IF(K53=1,0,IF(ISNUMBER(D53),D53,0))</f>
        <v>947.8</v>
      </c>
      <c r="S53" s="22">
        <f>IF(L53=1,0,IF(ISNUMBER(E53),E53,0))</f>
        <v>1260.0999999999999</v>
      </c>
      <c r="T53" s="25">
        <v>0</v>
      </c>
      <c r="U53" s="25">
        <v>0</v>
      </c>
      <c r="V53" s="25">
        <v>0</v>
      </c>
      <c r="W53" s="1"/>
      <c r="X53" s="23">
        <f t="shared" si="8"/>
        <v>450.7</v>
      </c>
      <c r="Y53" s="23">
        <f>IF(K53=0,D53,X53*R$57)</f>
        <v>947.8</v>
      </c>
      <c r="Z53" s="23">
        <f>IF(L53=0,E53,Y53*S$57)</f>
        <v>1260.0999999999999</v>
      </c>
      <c r="AA53" s="24"/>
      <c r="AB53" s="24"/>
      <c r="AC53" s="24"/>
    </row>
    <row r="54" spans="1:29" x14ac:dyDescent="0.3">
      <c r="A54" s="1"/>
      <c r="B54" s="14" t="s">
        <v>67</v>
      </c>
      <c r="C54" s="20">
        <f>IF('Raw Data'!C34="","",'Raw Data'!C34)</f>
        <v>491.9</v>
      </c>
      <c r="D54" s="20">
        <f>IF('Raw Data'!D34="","",'Raw Data'!D34)</f>
        <v>991.2</v>
      </c>
      <c r="E54" s="24"/>
      <c r="F54" s="24"/>
      <c r="G54" s="24"/>
      <c r="H54" s="24"/>
      <c r="I54" s="1"/>
      <c r="J54" s="21">
        <f t="shared" si="6"/>
        <v>0</v>
      </c>
      <c r="K54" s="21">
        <f>IF(NOT(ISNUMBER(D54)),1,IF(NOT(ISNUMBER(C54)),0,IF(OR(D54&lt;=C54,IF(C54&lt;=0,TRUE(),D54/C54&gt;Val_ratio_max)),1,0)))</f>
        <v>0</v>
      </c>
      <c r="L54" s="24">
        <v>0</v>
      </c>
      <c r="M54" s="24">
        <v>0</v>
      </c>
      <c r="N54" s="24">
        <v>0</v>
      </c>
      <c r="O54" s="24">
        <v>0</v>
      </c>
      <c r="P54" s="1"/>
      <c r="Q54" s="22">
        <f>IF(J54=1,0,IF(ISNUMBER(C54),C54,0))</f>
        <v>491.9</v>
      </c>
      <c r="R54" s="22">
        <f>IF(K54=1,0,IF(ISNUMBER(D54),D54,0))</f>
        <v>991.2</v>
      </c>
      <c r="S54" s="25">
        <v>0</v>
      </c>
      <c r="T54" s="25">
        <v>0</v>
      </c>
      <c r="U54" s="25">
        <v>0</v>
      </c>
      <c r="V54" s="25">
        <v>0</v>
      </c>
      <c r="W54" s="1"/>
      <c r="X54" s="23">
        <f t="shared" si="8"/>
        <v>491.9</v>
      </c>
      <c r="Y54" s="23">
        <f>IF(K54=0,D54,X54*R$57)</f>
        <v>991.2</v>
      </c>
      <c r="Z54" s="24"/>
      <c r="AA54" s="24"/>
      <c r="AB54" s="24"/>
      <c r="AC54" s="24"/>
    </row>
    <row r="55" spans="1:29" x14ac:dyDescent="0.3">
      <c r="A55" s="1"/>
      <c r="B55" s="14" t="s">
        <v>68</v>
      </c>
      <c r="C55" s="20">
        <f>IF('Raw Data'!C35="","",'Raw Data'!C35)</f>
        <v>469</v>
      </c>
      <c r="D55" s="24"/>
      <c r="E55" s="24"/>
      <c r="F55" s="24"/>
      <c r="G55" s="24"/>
      <c r="H55" s="24"/>
      <c r="I55" s="1"/>
      <c r="J55" s="21">
        <f t="shared" si="6"/>
        <v>0</v>
      </c>
      <c r="K55" s="24">
        <v>0</v>
      </c>
      <c r="L55" s="24">
        <v>0</v>
      </c>
      <c r="M55" s="24">
        <v>0</v>
      </c>
      <c r="N55" s="24">
        <v>0</v>
      </c>
      <c r="O55" s="24">
        <v>0</v>
      </c>
      <c r="P55" s="1"/>
      <c r="Q55" s="22">
        <f>IF(J55=1,0,IF(ISNUMBER(C55),C55,0))</f>
        <v>469</v>
      </c>
      <c r="R55" s="25">
        <v>0</v>
      </c>
      <c r="S55" s="25">
        <v>0</v>
      </c>
      <c r="T55" s="25">
        <v>0</v>
      </c>
      <c r="U55" s="25">
        <v>0</v>
      </c>
      <c r="V55" s="25">
        <v>0</v>
      </c>
      <c r="W55" s="1"/>
      <c r="X55" s="23">
        <f t="shared" si="8"/>
        <v>469</v>
      </c>
      <c r="Y55" s="24"/>
      <c r="Z55" s="24"/>
      <c r="AA55" s="24"/>
      <c r="AB55" s="24"/>
      <c r="AC55" s="24"/>
    </row>
    <row r="56" spans="1:29" x14ac:dyDescent="0.3">
      <c r="A56" s="1"/>
      <c r="B56" s="1"/>
      <c r="C56" s="1"/>
      <c r="D56" s="1"/>
      <c r="E56" s="1"/>
      <c r="F56" s="1"/>
      <c r="G56" s="1"/>
      <c r="H56" s="1"/>
      <c r="I56" s="1"/>
      <c r="J56" s="1"/>
      <c r="K56" s="1"/>
      <c r="L56" s="1"/>
      <c r="M56" s="1"/>
      <c r="N56" s="1"/>
      <c r="O56" s="1"/>
      <c r="P56" s="1"/>
      <c r="Q56" s="4" t="s">
        <v>106</v>
      </c>
      <c r="R56" s="26" t="s">
        <v>107</v>
      </c>
      <c r="S56" s="26" t="s">
        <v>108</v>
      </c>
      <c r="T56" s="26" t="s">
        <v>109</v>
      </c>
      <c r="U56" s="26" t="s">
        <v>110</v>
      </c>
      <c r="V56" s="26" t="s">
        <v>111</v>
      </c>
      <c r="W56" s="1"/>
      <c r="X56" s="1"/>
      <c r="Y56" s="1"/>
      <c r="Z56" s="1"/>
      <c r="AA56" s="1"/>
      <c r="AB56" s="1"/>
      <c r="AC56" s="1"/>
    </row>
    <row r="57" spans="1:29" x14ac:dyDescent="0.3">
      <c r="A57" s="1"/>
      <c r="B57" s="7" t="s">
        <v>112</v>
      </c>
      <c r="C57" s="1"/>
      <c r="D57" s="1"/>
      <c r="E57" s="1"/>
      <c r="F57" s="1"/>
      <c r="G57" s="1"/>
      <c r="H57" s="1"/>
      <c r="I57" s="1"/>
      <c r="J57" s="6" t="s">
        <v>113</v>
      </c>
      <c r="K57" s="1"/>
      <c r="L57" s="1"/>
      <c r="M57" s="27">
        <f>SUM(J50:O55)</f>
        <v>2</v>
      </c>
      <c r="N57" s="1"/>
      <c r="O57" s="1"/>
      <c r="P57" s="1"/>
      <c r="Q57" s="1"/>
      <c r="R57" s="28">
        <f>SUMPRODUCT((R50:R55&gt;0)*(Q50:Q55&gt;0)*R50:R55)/SUMPRODUCT((R50:R55&gt;0)*(Q50:Q55&gt;0)*Q50:Q55)</f>
        <v>2.092454835281615</v>
      </c>
      <c r="S57" s="28">
        <f>SUMPRODUCT((S50:S55&gt;0)*(R50:R55&gt;0)*S50:S55)/SUMPRODUCT((S50:S55&gt;0)*(R50:R55&gt;0)*R50:R55)</f>
        <v>1.3413578675588205</v>
      </c>
      <c r="T57" s="28">
        <f>SUMPRODUCT((T50:T55&gt;0)*(S50:S55&gt;0)*T50:T55)/SUMPRODUCT((T50:T55&gt;0)*(S50:S55&gt;0)*S50:S55)</f>
        <v>1.2009470866790199</v>
      </c>
      <c r="U57" s="28">
        <f>SUMPRODUCT((U50:U55&gt;0)*(T50:T55&gt;0)*U50:U55)/SUMPRODUCT((U50:U55&gt;0)*(T50:T55&gt;0)*T50:T55)</f>
        <v>1.068894622268806</v>
      </c>
      <c r="V57" s="28">
        <f>SUMPRODUCT((V50:V55&gt;0)*(U50:U55&gt;0)*V50:V55)/SUMPRODUCT((V50:V55&gt;0)*(U50:U55&gt;0)*U50:U55)</f>
        <v>1.0471971649484537</v>
      </c>
      <c r="W57" s="1"/>
      <c r="X57" s="1"/>
      <c r="Y57" s="1"/>
      <c r="Z57" s="1"/>
      <c r="AA57" s="1"/>
      <c r="AB57" s="1"/>
      <c r="AC57" s="1"/>
    </row>
    <row r="58" spans="1:2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x14ac:dyDescent="0.3">
      <c r="A64" s="1"/>
      <c r="B64" s="3" t="s">
        <v>114</v>
      </c>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x14ac:dyDescent="0.3">
      <c r="A65" s="1"/>
      <c r="B65" s="4" t="s">
        <v>115</v>
      </c>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66" x14ac:dyDescent="0.3">
      <c r="A66" s="1"/>
      <c r="B66" s="13" t="s">
        <v>55</v>
      </c>
      <c r="C66" s="13" t="s">
        <v>116</v>
      </c>
      <c r="D66" s="13" t="s">
        <v>117</v>
      </c>
      <c r="E66" s="13" t="s">
        <v>118</v>
      </c>
      <c r="F66" s="13"/>
      <c r="G66" s="13" t="s">
        <v>119</v>
      </c>
      <c r="H66" s="13" t="s">
        <v>120</v>
      </c>
      <c r="I66" s="13" t="s">
        <v>121</v>
      </c>
      <c r="J66" s="13"/>
      <c r="K66" s="13" t="s">
        <v>122</v>
      </c>
      <c r="L66" s="13" t="s">
        <v>123</v>
      </c>
      <c r="M66" s="13" t="s">
        <v>124</v>
      </c>
      <c r="N66" s="1"/>
      <c r="O66" s="1"/>
      <c r="P66" s="1"/>
      <c r="Q66" s="1"/>
      <c r="R66" s="1"/>
      <c r="S66" s="1"/>
      <c r="T66" s="1"/>
      <c r="U66" s="1"/>
      <c r="V66" s="1"/>
      <c r="W66" s="1"/>
      <c r="X66" s="1"/>
      <c r="Y66" s="1"/>
      <c r="Z66" s="1"/>
      <c r="AA66" s="1"/>
      <c r="AB66" s="1"/>
      <c r="AC66" s="1"/>
    </row>
    <row r="67" spans="1:29" x14ac:dyDescent="0.3">
      <c r="A67" s="1"/>
      <c r="B67" s="14" t="s">
        <v>62</v>
      </c>
      <c r="C67" s="29">
        <f>'Raw Data'!C52</f>
        <v>0.02</v>
      </c>
      <c r="D67" s="29">
        <f>'Raw Data'!D52</f>
        <v>0.03</v>
      </c>
      <c r="E67" s="29">
        <f>'Raw Data'!E52</f>
        <v>1.4999999999999999E-2</v>
      </c>
      <c r="F67" s="1"/>
      <c r="G67" s="21">
        <f t="shared" ref="G67:I72" si="9">IF(OR(C67&lt;Val_rate_min,C67&gt;Val_rate_max),1,0)</f>
        <v>0</v>
      </c>
      <c r="H67" s="21">
        <f t="shared" si="9"/>
        <v>0</v>
      </c>
      <c r="I67" s="21">
        <f t="shared" si="9"/>
        <v>0</v>
      </c>
      <c r="J67" s="1"/>
      <c r="K67" s="30">
        <f t="shared" ref="K67:M72" si="10">IF(G67=0,C67,$D$75)</f>
        <v>0.02</v>
      </c>
      <c r="L67" s="30">
        <f t="shared" si="10"/>
        <v>0.03</v>
      </c>
      <c r="M67" s="30">
        <f t="shared" si="10"/>
        <v>1.4999999999999999E-2</v>
      </c>
      <c r="N67" s="1"/>
      <c r="O67" s="1"/>
      <c r="P67" s="1"/>
      <c r="Q67" s="1"/>
      <c r="R67" s="1"/>
      <c r="S67" s="1"/>
      <c r="T67" s="1"/>
      <c r="U67" s="1"/>
      <c r="V67" s="1"/>
      <c r="W67" s="1"/>
      <c r="X67" s="1"/>
      <c r="Y67" s="1"/>
      <c r="Z67" s="1"/>
      <c r="AA67" s="1"/>
      <c r="AB67" s="1"/>
      <c r="AC67" s="1"/>
    </row>
    <row r="68" spans="1:29" x14ac:dyDescent="0.3">
      <c r="A68" s="1"/>
      <c r="B68" s="14" t="s">
        <v>63</v>
      </c>
      <c r="C68" s="29">
        <f>'Raw Data'!C53</f>
        <v>-1.4999999999999999E-2</v>
      </c>
      <c r="D68" s="29">
        <f>'Raw Data'!D53</f>
        <v>-2.5000000000000001E-2</v>
      </c>
      <c r="E68" s="29">
        <f>'Raw Data'!E53</f>
        <v>-0.03</v>
      </c>
      <c r="F68" s="1"/>
      <c r="G68" s="21">
        <f t="shared" si="9"/>
        <v>0</v>
      </c>
      <c r="H68" s="21">
        <f t="shared" si="9"/>
        <v>0</v>
      </c>
      <c r="I68" s="21">
        <f t="shared" si="9"/>
        <v>0</v>
      </c>
      <c r="J68" s="1"/>
      <c r="K68" s="30">
        <f t="shared" si="10"/>
        <v>-1.4999999999999999E-2</v>
      </c>
      <c r="L68" s="30">
        <f t="shared" si="10"/>
        <v>-2.5000000000000001E-2</v>
      </c>
      <c r="M68" s="30">
        <f t="shared" si="10"/>
        <v>-0.03</v>
      </c>
      <c r="N68" s="1"/>
      <c r="O68" s="1"/>
      <c r="P68" s="1"/>
      <c r="Q68" s="1"/>
      <c r="R68" s="1"/>
      <c r="S68" s="1"/>
      <c r="T68" s="1"/>
      <c r="U68" s="1"/>
      <c r="V68" s="1"/>
      <c r="W68" s="1"/>
      <c r="X68" s="1"/>
      <c r="Y68" s="1"/>
      <c r="Z68" s="1"/>
      <c r="AA68" s="1"/>
      <c r="AB68" s="1"/>
      <c r="AC68" s="1"/>
    </row>
    <row r="69" spans="1:29" x14ac:dyDescent="0.3">
      <c r="A69" s="1"/>
      <c r="B69" s="14" t="s">
        <v>64</v>
      </c>
      <c r="C69" s="29">
        <f>'Raw Data'!C54</f>
        <v>0.01</v>
      </c>
      <c r="D69" s="29">
        <f>'Raw Data'!D54</f>
        <v>5.0000000000000001E-3</v>
      </c>
      <c r="E69" s="29">
        <f>'Raw Data'!E54</f>
        <v>0.02</v>
      </c>
      <c r="F69" s="1"/>
      <c r="G69" s="21">
        <f t="shared" si="9"/>
        <v>0</v>
      </c>
      <c r="H69" s="21">
        <f t="shared" si="9"/>
        <v>0</v>
      </c>
      <c r="I69" s="21">
        <f t="shared" si="9"/>
        <v>0</v>
      </c>
      <c r="J69" s="1"/>
      <c r="K69" s="30">
        <f t="shared" si="10"/>
        <v>0.01</v>
      </c>
      <c r="L69" s="30">
        <f t="shared" si="10"/>
        <v>5.0000000000000001E-3</v>
      </c>
      <c r="M69" s="30">
        <f t="shared" si="10"/>
        <v>0.02</v>
      </c>
      <c r="N69" s="1"/>
      <c r="O69" s="1"/>
      <c r="P69" s="1"/>
      <c r="Q69" s="1"/>
      <c r="R69" s="1"/>
      <c r="S69" s="1"/>
      <c r="T69" s="1"/>
      <c r="U69" s="1"/>
      <c r="V69" s="1"/>
      <c r="W69" s="1"/>
      <c r="X69" s="1"/>
      <c r="Y69" s="1"/>
      <c r="Z69" s="1"/>
      <c r="AA69" s="1"/>
      <c r="AB69" s="1"/>
      <c r="AC69" s="1"/>
    </row>
    <row r="70" spans="1:29" x14ac:dyDescent="0.3">
      <c r="A70" s="1"/>
      <c r="B70" s="14" t="s">
        <v>65</v>
      </c>
      <c r="C70" s="29">
        <f>'Raw Data'!C55</f>
        <v>5.5E-2</v>
      </c>
      <c r="D70" s="29">
        <f>'Raw Data'!D55</f>
        <v>6.5000000000000002E-2</v>
      </c>
      <c r="E70" s="29">
        <f>'Raw Data'!E55</f>
        <v>7.0000000000000007E-2</v>
      </c>
      <c r="F70" s="1"/>
      <c r="G70" s="21">
        <f t="shared" si="9"/>
        <v>0</v>
      </c>
      <c r="H70" s="21">
        <f t="shared" si="9"/>
        <v>0</v>
      </c>
      <c r="I70" s="21">
        <f t="shared" si="9"/>
        <v>0</v>
      </c>
      <c r="J70" s="1"/>
      <c r="K70" s="30">
        <f t="shared" si="10"/>
        <v>5.5E-2</v>
      </c>
      <c r="L70" s="30">
        <f t="shared" si="10"/>
        <v>6.5000000000000002E-2</v>
      </c>
      <c r="M70" s="30">
        <f t="shared" si="10"/>
        <v>7.0000000000000007E-2</v>
      </c>
      <c r="N70" s="1"/>
      <c r="O70" s="1"/>
      <c r="P70" s="1"/>
      <c r="Q70" s="1"/>
      <c r="R70" s="1"/>
      <c r="S70" s="1"/>
      <c r="T70" s="1"/>
      <c r="U70" s="1"/>
      <c r="V70" s="1"/>
      <c r="W70" s="1"/>
      <c r="X70" s="1"/>
      <c r="Y70" s="1"/>
      <c r="Z70" s="1"/>
      <c r="AA70" s="1"/>
      <c r="AB70" s="1"/>
      <c r="AC70" s="1"/>
    </row>
    <row r="71" spans="1:29" x14ac:dyDescent="0.3">
      <c r="A71" s="1"/>
      <c r="B71" s="14" t="s">
        <v>67</v>
      </c>
      <c r="C71" s="29">
        <f>'Raw Data'!C56</f>
        <v>7.4999999999999997E-2</v>
      </c>
      <c r="D71" s="29">
        <f>'Raw Data'!D56</f>
        <v>0.09</v>
      </c>
      <c r="E71" s="29">
        <f>'Raw Data'!E56</f>
        <v>1</v>
      </c>
      <c r="F71" s="1"/>
      <c r="G71" s="21">
        <f t="shared" si="9"/>
        <v>0</v>
      </c>
      <c r="H71" s="21">
        <f t="shared" si="9"/>
        <v>0</v>
      </c>
      <c r="I71" s="21">
        <f t="shared" si="9"/>
        <v>1</v>
      </c>
      <c r="J71" s="1"/>
      <c r="K71" s="30">
        <f t="shared" si="10"/>
        <v>7.4999999999999997E-2</v>
      </c>
      <c r="L71" s="30">
        <f t="shared" si="10"/>
        <v>0.09</v>
      </c>
      <c r="M71" s="30">
        <f t="shared" si="10"/>
        <v>0.1</v>
      </c>
      <c r="N71" s="1"/>
      <c r="O71" s="1"/>
      <c r="P71" s="1"/>
      <c r="Q71" s="1"/>
      <c r="R71" s="1"/>
      <c r="S71" s="1"/>
      <c r="T71" s="1"/>
      <c r="U71" s="1"/>
      <c r="V71" s="1"/>
      <c r="W71" s="1"/>
      <c r="X71" s="1"/>
      <c r="Y71" s="1"/>
      <c r="Z71" s="1"/>
      <c r="AA71" s="1"/>
      <c r="AB71" s="1"/>
      <c r="AC71" s="1"/>
    </row>
    <row r="72" spans="1:29" x14ac:dyDescent="0.3">
      <c r="A72" s="1"/>
      <c r="B72" s="14" t="s">
        <v>68</v>
      </c>
      <c r="C72" s="29">
        <f>'Raw Data'!C57</f>
        <v>3.5000000000000003E-2</v>
      </c>
      <c r="D72" s="29">
        <f>'Raw Data'!D57</f>
        <v>4.4999999999999998E-2</v>
      </c>
      <c r="E72" s="29">
        <f>'Raw Data'!E57</f>
        <v>0.05</v>
      </c>
      <c r="F72" s="1"/>
      <c r="G72" s="21">
        <f t="shared" si="9"/>
        <v>0</v>
      </c>
      <c r="H72" s="21">
        <f t="shared" si="9"/>
        <v>0</v>
      </c>
      <c r="I72" s="21">
        <f t="shared" si="9"/>
        <v>0</v>
      </c>
      <c r="J72" s="1"/>
      <c r="K72" s="30">
        <f t="shared" si="10"/>
        <v>3.5000000000000003E-2</v>
      </c>
      <c r="L72" s="30">
        <f t="shared" si="10"/>
        <v>4.4999999999999998E-2</v>
      </c>
      <c r="M72" s="30">
        <f t="shared" si="10"/>
        <v>0.05</v>
      </c>
      <c r="N72" s="1"/>
      <c r="O72" s="1"/>
      <c r="P72" s="1"/>
      <c r="Q72" s="1"/>
      <c r="R72" s="1"/>
      <c r="S72" s="1"/>
      <c r="T72" s="1"/>
      <c r="U72" s="1"/>
      <c r="V72" s="1"/>
      <c r="W72" s="1"/>
      <c r="X72" s="1"/>
      <c r="Y72" s="1"/>
      <c r="Z72" s="1"/>
      <c r="AA72" s="1"/>
      <c r="AB72" s="1"/>
      <c r="AC72" s="1"/>
    </row>
    <row r="73" spans="1:29"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x14ac:dyDescent="0.3">
      <c r="A74" s="1"/>
      <c r="B74" s="5" t="s">
        <v>125</v>
      </c>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x14ac:dyDescent="0.3">
      <c r="A75" s="1"/>
      <c r="B75" s="6" t="s">
        <v>126</v>
      </c>
      <c r="C75" s="1"/>
      <c r="D75" s="31">
        <v>0.1</v>
      </c>
      <c r="E75" s="1"/>
      <c r="F75" s="1"/>
      <c r="G75" s="1"/>
      <c r="H75" s="1"/>
      <c r="I75" s="1"/>
      <c r="J75" s="1"/>
      <c r="K75" s="1"/>
      <c r="L75" s="1"/>
      <c r="M75" s="1"/>
      <c r="N75" s="1"/>
      <c r="O75" s="1"/>
      <c r="P75" s="1"/>
      <c r="Q75" s="1"/>
      <c r="R75" s="1"/>
      <c r="S75" s="1"/>
      <c r="T75" s="1"/>
      <c r="U75" s="1"/>
      <c r="V75" s="1"/>
      <c r="W75" s="1"/>
      <c r="X75" s="1"/>
      <c r="Y75" s="1"/>
      <c r="Z75" s="1"/>
      <c r="AA75" s="1"/>
      <c r="AB75" s="1"/>
      <c r="AC75" s="1"/>
    </row>
    <row r="76" spans="1:29" x14ac:dyDescent="0.3">
      <c r="A76" s="1"/>
      <c r="B76" s="6" t="s">
        <v>127</v>
      </c>
      <c r="C76" s="1"/>
      <c r="D76" s="4" t="s">
        <v>128</v>
      </c>
      <c r="E76" s="1"/>
      <c r="F76" s="1"/>
      <c r="G76" s="1"/>
      <c r="H76" s="1"/>
      <c r="I76" s="1"/>
      <c r="J76" s="1"/>
      <c r="K76" s="1"/>
      <c r="L76" s="1"/>
      <c r="M76" s="1"/>
      <c r="N76" s="1"/>
      <c r="O76" s="1"/>
      <c r="P76" s="1"/>
      <c r="Q76" s="1"/>
      <c r="R76" s="1"/>
      <c r="S76" s="1"/>
      <c r="T76" s="1"/>
      <c r="U76" s="1"/>
      <c r="V76" s="1"/>
      <c r="W76" s="1"/>
      <c r="X76" s="1"/>
      <c r="Y76" s="1"/>
      <c r="Z76" s="1"/>
      <c r="AA76" s="1"/>
      <c r="AB76" s="1"/>
      <c r="AC76" s="1"/>
    </row>
    <row r="77" spans="1:29"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x14ac:dyDescent="0.3">
      <c r="A78" s="1"/>
      <c r="B78" s="5" t="s">
        <v>129</v>
      </c>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x14ac:dyDescent="0.3">
      <c r="A79" s="1"/>
      <c r="B79" s="6" t="s">
        <v>130</v>
      </c>
      <c r="C79" s="1"/>
      <c r="D79" s="32">
        <f>(1+$D$75)/(1+'Raw Data'!E56)-1</f>
        <v>-0.44999999999999996</v>
      </c>
      <c r="E79" s="1"/>
      <c r="F79" s="1"/>
      <c r="G79" s="1"/>
      <c r="H79" s="1"/>
      <c r="I79" s="1"/>
      <c r="J79" s="1"/>
      <c r="K79" s="1"/>
      <c r="L79" s="1"/>
      <c r="M79" s="1"/>
      <c r="N79" s="1"/>
      <c r="O79" s="1"/>
      <c r="P79" s="1"/>
      <c r="Q79" s="1"/>
      <c r="R79" s="1"/>
      <c r="S79" s="1"/>
      <c r="T79" s="1"/>
      <c r="U79" s="1"/>
      <c r="V79" s="1"/>
      <c r="W79" s="1"/>
      <c r="X79" s="1"/>
      <c r="Y79" s="1"/>
      <c r="Z79" s="1"/>
      <c r="AA79" s="1"/>
      <c r="AB79" s="1"/>
      <c r="AC79" s="1"/>
    </row>
    <row r="80" spans="1:29" x14ac:dyDescent="0.3">
      <c r="A80" s="1"/>
      <c r="B80" s="4" t="s">
        <v>710</v>
      </c>
      <c r="C80" s="1"/>
      <c r="D80" s="1"/>
      <c r="E80" s="1"/>
      <c r="F80" s="1"/>
      <c r="G80" s="1"/>
      <c r="H80" s="1"/>
      <c r="I80" s="1"/>
      <c r="J80" s="1"/>
      <c r="K80" s="1"/>
      <c r="L80" s="1"/>
      <c r="M80" s="1"/>
      <c r="N80" s="1"/>
      <c r="O80" s="1"/>
      <c r="P80" s="1"/>
      <c r="Q80" s="1"/>
      <c r="R80" s="1"/>
      <c r="S80" s="1"/>
      <c r="T80" s="1"/>
      <c r="U80" s="1"/>
      <c r="V80" s="1"/>
      <c r="W80" s="1"/>
      <c r="X80" s="1"/>
      <c r="Y80" s="1"/>
      <c r="Z80" s="1"/>
      <c r="AA80" s="1"/>
      <c r="AB80" s="1"/>
      <c r="AC80" s="1"/>
    </row>
  </sheetData>
  <conditionalFormatting sqref="C18:H23">
    <cfRule type="expression" dxfId="9" priority="4">
      <formula>J18=1</formula>
    </cfRule>
  </conditionalFormatting>
  <conditionalFormatting sqref="C34:H39">
    <cfRule type="expression" dxfId="8" priority="7">
      <formula>J34=1</formula>
    </cfRule>
  </conditionalFormatting>
  <conditionalFormatting sqref="C50:H55">
    <cfRule type="expression" dxfId="7" priority="10">
      <formula>J50=1</formula>
    </cfRule>
  </conditionalFormatting>
  <conditionalFormatting sqref="G67:I72">
    <cfRule type="expression" dxfId="6" priority="11">
      <formula>G67=1</formula>
    </cfRule>
  </conditionalFormatting>
  <conditionalFormatting sqref="J18:O23">
    <cfRule type="expression" dxfId="5" priority="2">
      <formula>J18=1</formula>
    </cfRule>
  </conditionalFormatting>
  <conditionalFormatting sqref="J34:O39">
    <cfRule type="expression" dxfId="4" priority="5">
      <formula>J34=1</formula>
    </cfRule>
  </conditionalFormatting>
  <conditionalFormatting sqref="J50:O55">
    <cfRule type="expression" dxfId="3" priority="8">
      <formula>J50=1</formula>
    </cfRule>
  </conditionalFormatting>
  <conditionalFormatting sqref="X18:AC23">
    <cfRule type="expression" dxfId="2" priority="3">
      <formula>J18=1</formula>
    </cfRule>
  </conditionalFormatting>
  <conditionalFormatting sqref="X34:AC39">
    <cfRule type="expression" dxfId="1" priority="6">
      <formula>J34=1</formula>
    </cfRule>
  </conditionalFormatting>
  <conditionalFormatting sqref="X50:AC55">
    <cfRule type="expression" dxfId="0" priority="9">
      <formula>J50=1</formula>
    </cfRule>
  </conditionalFormatting>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D7D31"/>
    <pageSetUpPr fitToPage="1"/>
  </sheetPr>
  <dimension ref="A1:H52"/>
  <sheetViews>
    <sheetView showGridLines="0" tabSelected="1" zoomScaleNormal="100" workbookViewId="0">
      <pane xSplit="2" ySplit="3" topLeftCell="C9" activePane="bottomRight" state="frozen"/>
      <selection pane="topRight" activeCell="C1" sqref="C1"/>
      <selection pane="bottomLeft" activeCell="A4" sqref="A4"/>
      <selection pane="bottomRight"/>
    </sheetView>
  </sheetViews>
  <sheetFormatPr defaultColWidth="8.6640625" defaultRowHeight="14.4" x14ac:dyDescent="0.3"/>
  <cols>
    <col min="1" max="1" width="2" customWidth="1"/>
    <col min="2" max="2" width="46" customWidth="1"/>
    <col min="3" max="5" width="13" customWidth="1"/>
    <col min="6" max="6" width="4" customWidth="1"/>
    <col min="7" max="7" width="17" customWidth="1"/>
    <col min="8" max="8" width="54" customWidth="1"/>
  </cols>
  <sheetData>
    <row r="1" spans="1:8" ht="17.399999999999999" x14ac:dyDescent="0.3">
      <c r="A1" s="1"/>
      <c r="B1" s="2" t="s">
        <v>131</v>
      </c>
      <c r="C1" s="1"/>
      <c r="D1" s="1"/>
      <c r="E1" s="1"/>
      <c r="F1" s="1"/>
      <c r="G1" s="1"/>
      <c r="H1" s="1"/>
    </row>
    <row r="2" spans="1:8" x14ac:dyDescent="0.3">
      <c r="A2" s="1"/>
      <c r="B2" s="4" t="s">
        <v>132</v>
      </c>
      <c r="C2" s="1"/>
      <c r="D2" s="1"/>
      <c r="E2" s="1"/>
      <c r="F2" s="1"/>
      <c r="G2" s="1"/>
      <c r="H2" s="1"/>
    </row>
    <row r="3" spans="1:8" x14ac:dyDescent="0.3">
      <c r="A3" s="1"/>
      <c r="B3" s="1"/>
      <c r="C3" s="1"/>
      <c r="D3" s="1"/>
      <c r="E3" s="1"/>
      <c r="F3" s="1"/>
      <c r="G3" s="1"/>
      <c r="H3" s="1"/>
    </row>
    <row r="4" spans="1:8" x14ac:dyDescent="0.3">
      <c r="A4" s="1"/>
      <c r="B4" s="1"/>
      <c r="C4" s="1"/>
      <c r="D4" s="1"/>
      <c r="E4" s="1"/>
      <c r="F4" s="1"/>
      <c r="G4" s="1"/>
      <c r="H4" s="1"/>
    </row>
    <row r="5" spans="1:8" x14ac:dyDescent="0.3">
      <c r="A5" s="1"/>
      <c r="B5" s="5" t="s">
        <v>133</v>
      </c>
      <c r="C5" s="1"/>
      <c r="D5" s="1"/>
      <c r="E5" s="1"/>
      <c r="F5" s="1"/>
      <c r="G5" s="1"/>
      <c r="H5" s="1"/>
    </row>
    <row r="6" spans="1:8" x14ac:dyDescent="0.3">
      <c r="A6" s="1"/>
      <c r="B6" s="4" t="s">
        <v>134</v>
      </c>
      <c r="C6" s="1"/>
      <c r="D6" s="1"/>
      <c r="E6" s="1"/>
      <c r="F6" s="1"/>
      <c r="G6" s="1"/>
      <c r="H6" s="1"/>
    </row>
    <row r="7" spans="1:8" x14ac:dyDescent="0.3">
      <c r="A7" s="1"/>
      <c r="B7" s="13" t="s">
        <v>135</v>
      </c>
      <c r="C7" s="13" t="s">
        <v>73</v>
      </c>
      <c r="D7" s="13" t="s">
        <v>74</v>
      </c>
      <c r="E7" s="13" t="s">
        <v>75</v>
      </c>
      <c r="F7" s="1"/>
      <c r="G7" s="33" t="s">
        <v>136</v>
      </c>
      <c r="H7" s="33" t="s">
        <v>137</v>
      </c>
    </row>
    <row r="8" spans="1:8" x14ac:dyDescent="0.3">
      <c r="A8" s="1"/>
      <c r="B8" s="16" t="s">
        <v>138</v>
      </c>
      <c r="C8" s="17">
        <v>2840</v>
      </c>
      <c r="D8" s="17">
        <v>1120</v>
      </c>
      <c r="E8" s="17">
        <v>410</v>
      </c>
      <c r="F8" s="1"/>
      <c r="G8" s="1"/>
      <c r="H8" s="4" t="s">
        <v>139</v>
      </c>
    </row>
    <row r="9" spans="1:8" x14ac:dyDescent="0.3">
      <c r="A9" s="1"/>
      <c r="B9" s="16" t="s">
        <v>140</v>
      </c>
      <c r="C9" s="17">
        <v>28</v>
      </c>
      <c r="D9" s="17">
        <v>64</v>
      </c>
      <c r="E9" s="17">
        <v>95</v>
      </c>
      <c r="F9" s="1"/>
      <c r="G9" s="1"/>
      <c r="H9" s="4" t="s">
        <v>141</v>
      </c>
    </row>
    <row r="10" spans="1:8" x14ac:dyDescent="0.3">
      <c r="A10" s="1"/>
      <c r="B10" s="16" t="s">
        <v>142</v>
      </c>
      <c r="C10" s="34" t="s">
        <v>143</v>
      </c>
      <c r="D10" s="34" t="s">
        <v>143</v>
      </c>
      <c r="E10" s="34" t="s">
        <v>143</v>
      </c>
      <c r="F10" s="1"/>
      <c r="G10" s="1"/>
      <c r="H10" s="4" t="s">
        <v>144</v>
      </c>
    </row>
    <row r="11" spans="1:8" x14ac:dyDescent="0.3">
      <c r="A11" s="1"/>
      <c r="B11" s="16" t="s">
        <v>145</v>
      </c>
      <c r="C11" s="18">
        <v>0.27</v>
      </c>
      <c r="D11" s="18">
        <v>0.255</v>
      </c>
      <c r="E11" s="18">
        <v>0.28999999999999998</v>
      </c>
      <c r="F11" s="1"/>
      <c r="G11" s="4" t="s">
        <v>146</v>
      </c>
      <c r="H11" s="4" t="s">
        <v>147</v>
      </c>
    </row>
    <row r="12" spans="1:8" x14ac:dyDescent="0.3">
      <c r="A12" s="1"/>
      <c r="B12" s="1"/>
      <c r="C12" s="1"/>
      <c r="D12" s="1"/>
      <c r="E12" s="1"/>
      <c r="F12" s="1"/>
      <c r="G12" s="1"/>
      <c r="H12" s="1"/>
    </row>
    <row r="13" spans="1:8" x14ac:dyDescent="0.3">
      <c r="A13" s="1"/>
      <c r="B13" s="1"/>
      <c r="C13" s="1"/>
      <c r="D13" s="1"/>
      <c r="E13" s="1"/>
      <c r="F13" s="1"/>
      <c r="G13" s="1"/>
      <c r="H13" s="1"/>
    </row>
    <row r="14" spans="1:8" x14ac:dyDescent="0.3">
      <c r="A14" s="1"/>
      <c r="B14" s="5" t="s">
        <v>148</v>
      </c>
      <c r="C14" s="1"/>
      <c r="D14" s="1"/>
      <c r="E14" s="1"/>
      <c r="F14" s="1"/>
      <c r="G14" s="1"/>
      <c r="H14" s="1"/>
    </row>
    <row r="15" spans="1:8" x14ac:dyDescent="0.3">
      <c r="A15" s="1"/>
      <c r="B15" s="4" t="s">
        <v>149</v>
      </c>
      <c r="C15" s="1"/>
      <c r="D15" s="1"/>
      <c r="E15" s="1"/>
      <c r="F15" s="1"/>
      <c r="G15" s="1"/>
      <c r="H15" s="1"/>
    </row>
    <row r="16" spans="1:8" x14ac:dyDescent="0.3">
      <c r="A16" s="1"/>
      <c r="B16" s="13" t="s">
        <v>135</v>
      </c>
      <c r="C16" s="13" t="s">
        <v>150</v>
      </c>
      <c r="D16" s="1"/>
      <c r="E16" s="1"/>
      <c r="F16" s="1"/>
      <c r="G16" s="33" t="s">
        <v>136</v>
      </c>
      <c r="H16" s="33" t="s">
        <v>137</v>
      </c>
    </row>
    <row r="17" spans="1:8" x14ac:dyDescent="0.3">
      <c r="A17" s="1"/>
      <c r="B17" s="16" t="s">
        <v>151</v>
      </c>
      <c r="C17" s="31">
        <v>5.5E-2</v>
      </c>
      <c r="D17" s="1"/>
      <c r="E17" s="1"/>
      <c r="F17" s="1"/>
      <c r="G17" s="4" t="s">
        <v>152</v>
      </c>
      <c r="H17" s="4" t="s">
        <v>153</v>
      </c>
    </row>
    <row r="18" spans="1:8" x14ac:dyDescent="0.3">
      <c r="A18" s="1"/>
      <c r="B18" s="16" t="s">
        <v>154</v>
      </c>
      <c r="C18" s="31">
        <v>0.05</v>
      </c>
      <c r="D18" s="1"/>
      <c r="E18" s="1"/>
      <c r="F18" s="1"/>
      <c r="G18" s="4" t="s">
        <v>155</v>
      </c>
      <c r="H18" s="4" t="s">
        <v>156</v>
      </c>
    </row>
    <row r="19" spans="1:8" x14ac:dyDescent="0.3">
      <c r="A19" s="1"/>
      <c r="B19" s="1"/>
      <c r="C19" s="1"/>
      <c r="D19" s="1"/>
      <c r="E19" s="1"/>
      <c r="F19" s="1"/>
      <c r="G19" s="1"/>
      <c r="H19" s="1"/>
    </row>
    <row r="20" spans="1:8" x14ac:dyDescent="0.3">
      <c r="A20" s="1"/>
      <c r="B20" s="1"/>
      <c r="C20" s="1"/>
      <c r="D20" s="1"/>
      <c r="E20" s="1"/>
      <c r="F20" s="1"/>
      <c r="G20" s="1"/>
      <c r="H20" s="1"/>
    </row>
    <row r="21" spans="1:8" x14ac:dyDescent="0.3">
      <c r="A21" s="1"/>
      <c r="B21" s="5" t="s">
        <v>157</v>
      </c>
      <c r="C21" s="1"/>
      <c r="D21" s="1"/>
      <c r="E21" s="1"/>
      <c r="F21" s="1"/>
      <c r="G21" s="1"/>
      <c r="H21" s="1"/>
    </row>
    <row r="22" spans="1:8" x14ac:dyDescent="0.3">
      <c r="A22" s="1"/>
      <c r="B22" s="4" t="s">
        <v>158</v>
      </c>
      <c r="C22" s="1"/>
      <c r="D22" s="1"/>
      <c r="E22" s="1"/>
      <c r="F22" s="1"/>
      <c r="G22" s="1"/>
      <c r="H22" s="1"/>
    </row>
    <row r="23" spans="1:8" x14ac:dyDescent="0.3">
      <c r="A23" s="1"/>
      <c r="B23" s="13" t="s">
        <v>135</v>
      </c>
      <c r="C23" s="13" t="s">
        <v>73</v>
      </c>
      <c r="D23" s="13" t="s">
        <v>74</v>
      </c>
      <c r="E23" s="13" t="s">
        <v>75</v>
      </c>
      <c r="F23" s="1"/>
      <c r="G23" s="33" t="s">
        <v>136</v>
      </c>
      <c r="H23" s="33" t="s">
        <v>137</v>
      </c>
    </row>
    <row r="24" spans="1:8" x14ac:dyDescent="0.3">
      <c r="A24" s="1"/>
      <c r="B24" s="16" t="s">
        <v>159</v>
      </c>
      <c r="C24" s="31">
        <v>0.62</v>
      </c>
      <c r="D24" s="31">
        <v>0.7</v>
      </c>
      <c r="E24" s="31">
        <v>0.76</v>
      </c>
      <c r="F24" s="1"/>
      <c r="G24" s="4" t="s">
        <v>160</v>
      </c>
      <c r="H24" s="4" t="s">
        <v>161</v>
      </c>
    </row>
    <row r="25" spans="1:8" x14ac:dyDescent="0.3">
      <c r="A25" s="1"/>
      <c r="B25" s="16" t="s">
        <v>162</v>
      </c>
      <c r="C25" s="17">
        <v>1082</v>
      </c>
      <c r="D25" s="17">
        <v>1082</v>
      </c>
      <c r="E25" s="17">
        <v>1082</v>
      </c>
      <c r="F25" s="1"/>
      <c r="G25" s="4" t="s">
        <v>163</v>
      </c>
      <c r="H25" s="4" t="s">
        <v>164</v>
      </c>
    </row>
    <row r="26" spans="1:8" x14ac:dyDescent="0.3">
      <c r="A26" s="1"/>
      <c r="B26" s="16" t="s">
        <v>165</v>
      </c>
      <c r="C26" s="35">
        <v>3</v>
      </c>
      <c r="D26" s="35">
        <v>3</v>
      </c>
      <c r="E26" s="35">
        <v>3</v>
      </c>
      <c r="F26" s="1"/>
      <c r="G26" s="4" t="s">
        <v>166</v>
      </c>
      <c r="H26" s="4" t="s">
        <v>167</v>
      </c>
    </row>
    <row r="27" spans="1:8" x14ac:dyDescent="0.3">
      <c r="A27" s="1"/>
      <c r="B27" s="1"/>
      <c r="C27" s="1"/>
      <c r="D27" s="1"/>
      <c r="E27" s="1"/>
      <c r="F27" s="1"/>
      <c r="G27" s="1"/>
      <c r="H27" s="1"/>
    </row>
    <row r="28" spans="1:8" x14ac:dyDescent="0.3">
      <c r="A28" s="1"/>
      <c r="B28" s="1"/>
      <c r="C28" s="1"/>
      <c r="D28" s="1"/>
      <c r="E28" s="1"/>
      <c r="F28" s="1"/>
      <c r="G28" s="1"/>
      <c r="H28" s="1"/>
    </row>
    <row r="29" spans="1:8" x14ac:dyDescent="0.3">
      <c r="A29" s="1"/>
      <c r="B29" s="5" t="s">
        <v>168</v>
      </c>
      <c r="C29" s="1"/>
      <c r="D29" s="1"/>
      <c r="E29" s="1"/>
      <c r="F29" s="1"/>
      <c r="G29" s="1"/>
      <c r="H29" s="1"/>
    </row>
    <row r="30" spans="1:8" x14ac:dyDescent="0.3">
      <c r="A30" s="1"/>
      <c r="B30" s="4" t="s">
        <v>169</v>
      </c>
      <c r="C30" s="1"/>
      <c r="D30" s="1"/>
      <c r="E30" s="1"/>
      <c r="F30" s="1"/>
      <c r="G30" s="1"/>
      <c r="H30" s="1"/>
    </row>
    <row r="31" spans="1:8" x14ac:dyDescent="0.3">
      <c r="A31" s="1"/>
      <c r="B31" s="13" t="s">
        <v>135</v>
      </c>
      <c r="C31" s="13" t="s">
        <v>73</v>
      </c>
      <c r="D31" s="13" t="s">
        <v>74</v>
      </c>
      <c r="E31" s="13" t="s">
        <v>75</v>
      </c>
      <c r="F31" s="1"/>
      <c r="G31" s="33" t="s">
        <v>136</v>
      </c>
      <c r="H31" s="33" t="s">
        <v>137</v>
      </c>
    </row>
    <row r="32" spans="1:8" x14ac:dyDescent="0.3">
      <c r="A32" s="1"/>
      <c r="B32" s="16" t="s">
        <v>170</v>
      </c>
      <c r="C32" s="36">
        <v>1.012</v>
      </c>
      <c r="D32" s="36">
        <v>1.034</v>
      </c>
      <c r="E32" s="36">
        <v>1.0549999999999999</v>
      </c>
      <c r="F32" s="1"/>
      <c r="G32" s="4" t="s">
        <v>171</v>
      </c>
      <c r="H32" s="4" t="s">
        <v>172</v>
      </c>
    </row>
    <row r="33" spans="1:8" x14ac:dyDescent="0.3">
      <c r="A33" s="1"/>
      <c r="B33" s="16" t="s">
        <v>173</v>
      </c>
      <c r="C33" s="37">
        <v>3</v>
      </c>
      <c r="D33" s="1"/>
      <c r="E33" s="1"/>
      <c r="F33" s="1"/>
      <c r="G33" s="4" t="s">
        <v>174</v>
      </c>
      <c r="H33" s="4" t="s">
        <v>175</v>
      </c>
    </row>
    <row r="34" spans="1:8" x14ac:dyDescent="0.3">
      <c r="A34" s="1"/>
      <c r="B34" s="16" t="s">
        <v>176</v>
      </c>
      <c r="C34" s="31">
        <v>0.04</v>
      </c>
      <c r="D34" s="1"/>
      <c r="E34" s="1"/>
      <c r="F34" s="1"/>
      <c r="G34" s="4" t="s">
        <v>177</v>
      </c>
      <c r="H34" s="4" t="s">
        <v>178</v>
      </c>
    </row>
    <row r="35" spans="1:8" x14ac:dyDescent="0.3">
      <c r="A35" s="1"/>
      <c r="B35" s="1"/>
      <c r="C35" s="1"/>
      <c r="D35" s="1"/>
      <c r="E35" s="1"/>
      <c r="F35" s="1"/>
      <c r="G35" s="1"/>
      <c r="H35" s="1"/>
    </row>
    <row r="36" spans="1:8" x14ac:dyDescent="0.3">
      <c r="A36" s="1"/>
      <c r="B36" s="1"/>
      <c r="C36" s="1"/>
      <c r="D36" s="1"/>
      <c r="E36" s="1"/>
      <c r="F36" s="1"/>
      <c r="G36" s="1"/>
      <c r="H36" s="1"/>
    </row>
    <row r="37" spans="1:8" x14ac:dyDescent="0.3">
      <c r="A37" s="1"/>
      <c r="B37" s="5" t="s">
        <v>179</v>
      </c>
      <c r="C37" s="1"/>
      <c r="D37" s="1"/>
      <c r="E37" s="1"/>
      <c r="F37" s="1"/>
      <c r="G37" s="1"/>
      <c r="H37" s="1"/>
    </row>
    <row r="38" spans="1:8" x14ac:dyDescent="0.3">
      <c r="A38" s="1"/>
      <c r="B38" s="4" t="s">
        <v>180</v>
      </c>
      <c r="C38" s="1"/>
      <c r="D38" s="1"/>
      <c r="E38" s="1"/>
      <c r="F38" s="1"/>
      <c r="G38" s="1"/>
      <c r="H38" s="1"/>
    </row>
    <row r="39" spans="1:8" x14ac:dyDescent="0.3">
      <c r="A39" s="1"/>
      <c r="B39" s="13" t="s">
        <v>135</v>
      </c>
      <c r="C39" s="13" t="s">
        <v>150</v>
      </c>
      <c r="D39" s="1"/>
      <c r="E39" s="1"/>
      <c r="F39" s="1"/>
      <c r="G39" s="33" t="s">
        <v>136</v>
      </c>
      <c r="H39" s="33" t="s">
        <v>137</v>
      </c>
    </row>
    <row r="40" spans="1:8" x14ac:dyDescent="0.3">
      <c r="A40" s="1"/>
      <c r="B40" s="16" t="s">
        <v>181</v>
      </c>
      <c r="C40" s="18">
        <v>1.05</v>
      </c>
      <c r="D40" s="1"/>
      <c r="E40" s="1"/>
      <c r="F40" s="1"/>
      <c r="G40" s="4" t="s">
        <v>182</v>
      </c>
      <c r="H40" s="4" t="s">
        <v>183</v>
      </c>
    </row>
    <row r="41" spans="1:8" x14ac:dyDescent="0.3">
      <c r="A41" s="1"/>
      <c r="B41" s="16" t="s">
        <v>184</v>
      </c>
      <c r="C41" s="18">
        <v>1.3</v>
      </c>
      <c r="D41" s="1"/>
      <c r="E41" s="1"/>
      <c r="F41" s="1"/>
      <c r="G41" s="4" t="s">
        <v>185</v>
      </c>
      <c r="H41" s="4" t="s">
        <v>183</v>
      </c>
    </row>
    <row r="42" spans="1:8" x14ac:dyDescent="0.3">
      <c r="A42" s="1"/>
      <c r="B42" s="16" t="s">
        <v>186</v>
      </c>
      <c r="C42" s="18">
        <v>0.12</v>
      </c>
      <c r="D42" s="1"/>
      <c r="E42" s="1"/>
      <c r="F42" s="1"/>
      <c r="G42" s="4" t="s">
        <v>187</v>
      </c>
      <c r="H42" s="4" t="s">
        <v>183</v>
      </c>
    </row>
    <row r="43" spans="1:8" x14ac:dyDescent="0.3">
      <c r="A43" s="1"/>
      <c r="B43" s="1"/>
      <c r="C43" s="1"/>
      <c r="D43" s="1"/>
      <c r="E43" s="1"/>
      <c r="F43" s="1"/>
      <c r="G43" s="1"/>
      <c r="H43" s="1"/>
    </row>
    <row r="44" spans="1:8" x14ac:dyDescent="0.3">
      <c r="A44" s="1"/>
      <c r="B44" s="1"/>
      <c r="C44" s="1"/>
      <c r="D44" s="1"/>
      <c r="E44" s="1"/>
      <c r="F44" s="1"/>
      <c r="G44" s="1"/>
      <c r="H44" s="1"/>
    </row>
    <row r="45" spans="1:8" x14ac:dyDescent="0.3">
      <c r="A45" s="1"/>
      <c r="B45" s="5" t="s">
        <v>188</v>
      </c>
      <c r="C45" s="1"/>
      <c r="D45" s="1"/>
      <c r="E45" s="1"/>
      <c r="F45" s="1"/>
      <c r="G45" s="1"/>
      <c r="H45" s="1"/>
    </row>
    <row r="46" spans="1:8" x14ac:dyDescent="0.3">
      <c r="A46" s="1"/>
      <c r="B46" s="4" t="s">
        <v>189</v>
      </c>
      <c r="C46" s="1"/>
      <c r="D46" s="1"/>
      <c r="E46" s="1"/>
      <c r="F46" s="1"/>
      <c r="G46" s="1"/>
      <c r="H46" s="1"/>
    </row>
    <row r="47" spans="1:8" x14ac:dyDescent="0.3">
      <c r="A47" s="1"/>
      <c r="B47" s="13" t="s">
        <v>135</v>
      </c>
      <c r="C47" s="13" t="s">
        <v>150</v>
      </c>
      <c r="D47" s="1"/>
      <c r="E47" s="1"/>
      <c r="F47" s="1"/>
      <c r="G47" s="33" t="s">
        <v>136</v>
      </c>
      <c r="H47" s="33" t="s">
        <v>137</v>
      </c>
    </row>
    <row r="48" spans="1:8" x14ac:dyDescent="0.3">
      <c r="A48" s="1"/>
      <c r="B48" s="16" t="s">
        <v>190</v>
      </c>
      <c r="C48" s="37">
        <v>4</v>
      </c>
      <c r="D48" s="1"/>
      <c r="E48" s="1"/>
      <c r="F48" s="1"/>
      <c r="G48" s="4" t="s">
        <v>191</v>
      </c>
      <c r="H48" s="4" t="s">
        <v>192</v>
      </c>
    </row>
    <row r="49" spans="1:8" x14ac:dyDescent="0.3">
      <c r="A49" s="1"/>
      <c r="B49" s="16" t="s">
        <v>193</v>
      </c>
      <c r="C49" s="31">
        <v>-0.25</v>
      </c>
      <c r="D49" s="1"/>
      <c r="E49" s="1"/>
      <c r="F49" s="1"/>
      <c r="G49" s="4" t="s">
        <v>194</v>
      </c>
      <c r="H49" s="4" t="s">
        <v>195</v>
      </c>
    </row>
    <row r="50" spans="1:8" x14ac:dyDescent="0.3">
      <c r="A50" s="1"/>
      <c r="B50" s="16" t="s">
        <v>196</v>
      </c>
      <c r="C50" s="31">
        <v>0.25</v>
      </c>
      <c r="D50" s="1"/>
      <c r="E50" s="1"/>
      <c r="F50" s="1"/>
      <c r="G50" s="4" t="s">
        <v>197</v>
      </c>
      <c r="H50" s="4" t="s">
        <v>195</v>
      </c>
    </row>
    <row r="51" spans="1:8" x14ac:dyDescent="0.3">
      <c r="A51" s="1"/>
      <c r="B51" s="16" t="s">
        <v>198</v>
      </c>
      <c r="C51" s="17">
        <v>72</v>
      </c>
      <c r="D51" s="1"/>
      <c r="E51" s="1"/>
      <c r="F51" s="1"/>
      <c r="G51" s="1"/>
      <c r="H51" s="4" t="s">
        <v>199</v>
      </c>
    </row>
    <row r="52" spans="1:8" x14ac:dyDescent="0.3">
      <c r="A52" s="1"/>
      <c r="B52" s="16" t="s">
        <v>200</v>
      </c>
      <c r="C52" s="34" t="s">
        <v>201</v>
      </c>
      <c r="D52" s="1"/>
      <c r="E52" s="1"/>
      <c r="F52" s="1"/>
      <c r="G52" s="1"/>
      <c r="H52" s="4" t="s">
        <v>202</v>
      </c>
    </row>
  </sheetData>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pageSetUpPr fitToPage="1"/>
  </sheetPr>
  <dimension ref="A1:H47"/>
  <sheetViews>
    <sheetView showGridLines="0" zoomScaleNormal="100" workbookViewId="0">
      <pane xSplit="2" ySplit="2" topLeftCell="F27" activePane="bottomRight" state="frozen"/>
      <selection pane="topRight" activeCell="C1" sqref="C1"/>
      <selection pane="bottomLeft" activeCell="A3" sqref="A3"/>
      <selection pane="bottomRight" activeCell="H47" sqref="H47"/>
    </sheetView>
  </sheetViews>
  <sheetFormatPr defaultColWidth="8.6640625" defaultRowHeight="14.4" x14ac:dyDescent="0.3"/>
  <cols>
    <col min="1" max="1" width="2" customWidth="1"/>
    <col min="2" max="2" width="40" customWidth="1"/>
    <col min="3" max="8" width="11" customWidth="1"/>
    <col min="9" max="9" width="3" customWidth="1"/>
    <col min="10" max="10" width="60" customWidth="1"/>
  </cols>
  <sheetData>
    <row r="1" spans="1:8" ht="17.399999999999999" x14ac:dyDescent="0.3">
      <c r="A1" s="1"/>
      <c r="B1" s="2" t="s">
        <v>203</v>
      </c>
      <c r="C1" s="1"/>
      <c r="D1" s="1"/>
      <c r="E1" s="1"/>
      <c r="F1" s="1"/>
      <c r="G1" s="1"/>
      <c r="H1" s="1"/>
    </row>
    <row r="2" spans="1:8" x14ac:dyDescent="0.3">
      <c r="A2" s="1"/>
      <c r="B2" s="4" t="s">
        <v>204</v>
      </c>
      <c r="C2" s="1"/>
      <c r="D2" s="1"/>
      <c r="E2" s="1"/>
      <c r="F2" s="1"/>
      <c r="G2" s="1"/>
      <c r="H2" s="1"/>
    </row>
    <row r="3" spans="1:8" x14ac:dyDescent="0.3">
      <c r="A3" s="1"/>
      <c r="B3" s="1"/>
      <c r="C3" s="1"/>
      <c r="D3" s="1"/>
      <c r="E3" s="1"/>
      <c r="F3" s="1"/>
      <c r="G3" s="1"/>
      <c r="H3" s="1"/>
    </row>
    <row r="4" spans="1:8" x14ac:dyDescent="0.3">
      <c r="A4" s="1"/>
      <c r="B4" s="1"/>
      <c r="C4" s="1"/>
      <c r="D4" s="1"/>
      <c r="E4" s="1"/>
      <c r="F4" s="1"/>
      <c r="G4" s="1"/>
      <c r="H4" s="1"/>
    </row>
    <row r="5" spans="1:8" x14ac:dyDescent="0.3">
      <c r="A5" s="1"/>
      <c r="B5" s="3" t="s">
        <v>54</v>
      </c>
      <c r="C5" s="1"/>
      <c r="D5" s="1"/>
      <c r="E5" s="1"/>
      <c r="F5" s="1"/>
      <c r="G5" s="1"/>
      <c r="H5" s="1"/>
    </row>
    <row r="6" spans="1:8" x14ac:dyDescent="0.3">
      <c r="A6" s="1"/>
      <c r="B6" s="5" t="s">
        <v>205</v>
      </c>
      <c r="C6" s="1"/>
      <c r="D6" s="1"/>
      <c r="E6" s="1"/>
      <c r="F6" s="1"/>
      <c r="G6" s="1"/>
      <c r="H6" s="1"/>
    </row>
    <row r="7" spans="1:8" x14ac:dyDescent="0.3">
      <c r="A7" s="1"/>
      <c r="B7" s="13" t="s">
        <v>55</v>
      </c>
      <c r="C7" s="13" t="s">
        <v>107</v>
      </c>
      <c r="D7" s="13" t="s">
        <v>108</v>
      </c>
      <c r="E7" s="13" t="s">
        <v>109</v>
      </c>
      <c r="F7" s="13" t="s">
        <v>110</v>
      </c>
      <c r="G7" s="13" t="s">
        <v>111</v>
      </c>
      <c r="H7" s="1"/>
    </row>
    <row r="8" spans="1:8" x14ac:dyDescent="0.3">
      <c r="A8" s="1"/>
      <c r="B8" s="14" t="s">
        <v>62</v>
      </c>
      <c r="C8" s="38">
        <f>'Data Validation'!Y18/'Data Validation'!X18</f>
        <v>1.8271052357655875</v>
      </c>
      <c r="D8" s="38">
        <f>'Data Validation'!Z18/'Data Validation'!Y18</f>
        <v>1.1892553979376745</v>
      </c>
      <c r="E8" s="38">
        <f>'Data Validation'!AA18/'Data Validation'!Z18</f>
        <v>1.0879041916167664</v>
      </c>
      <c r="F8" s="38">
        <f>'Data Validation'!AB18/'Data Validation'!AA18</f>
        <v>1.032408630559225</v>
      </c>
      <c r="G8" s="38">
        <f>'Data Validation'!AC18/'Data Validation'!AB18</f>
        <v>1.0374904034803378</v>
      </c>
      <c r="H8" s="1"/>
    </row>
    <row r="9" spans="1:8" x14ac:dyDescent="0.3">
      <c r="A9" s="1"/>
      <c r="B9" s="14" t="s">
        <v>63</v>
      </c>
      <c r="C9" s="38">
        <f>'Data Validation'!Y19/'Data Validation'!X19</f>
        <v>1.8420388859695218</v>
      </c>
      <c r="D9" s="38">
        <f>'Data Validation'!Z19/'Data Validation'!Y19</f>
        <v>1.2015747132994807</v>
      </c>
      <c r="E9" s="38">
        <f>'Data Validation'!AA19/'Data Validation'!Z19</f>
        <v>1.1046533713200379</v>
      </c>
      <c r="F9" s="38">
        <f>'Data Validation'!AB19/'Data Validation'!AA19</f>
        <v>1.0478421595598348</v>
      </c>
      <c r="G9" s="16"/>
      <c r="H9" s="1"/>
    </row>
    <row r="10" spans="1:8" x14ac:dyDescent="0.3">
      <c r="A10" s="1"/>
      <c r="B10" s="14" t="s">
        <v>64</v>
      </c>
      <c r="C10" s="38">
        <f>'Data Validation'!Y20/'Data Validation'!X20</f>
        <v>1.4710234278668313</v>
      </c>
      <c r="D10" s="38">
        <f>'Data Validation'!Z20/'Data Validation'!Y20</f>
        <v>1.2311166992642264</v>
      </c>
      <c r="E10" s="38">
        <f>'Data Validation'!AA20/'Data Validation'!Z20</f>
        <v>1.0963157267199235</v>
      </c>
      <c r="F10" s="16"/>
      <c r="G10" s="16"/>
      <c r="H10" s="1"/>
    </row>
    <row r="11" spans="1:8" x14ac:dyDescent="0.3">
      <c r="A11" s="1"/>
      <c r="B11" s="14" t="s">
        <v>65</v>
      </c>
      <c r="C11" s="38">
        <f>'Data Validation'!Y21/'Data Validation'!X21</f>
        <v>1.6600909204654459</v>
      </c>
      <c r="D11" s="38">
        <f>'Data Validation'!Z21/'Data Validation'!Y21</f>
        <v>1.2475034940385656</v>
      </c>
      <c r="E11" s="16"/>
      <c r="F11" s="16"/>
      <c r="G11" s="16"/>
      <c r="H11" s="1"/>
    </row>
    <row r="12" spans="1:8" x14ac:dyDescent="0.3">
      <c r="A12" s="1"/>
      <c r="B12" s="14" t="s">
        <v>67</v>
      </c>
      <c r="C12" s="38">
        <f>'Data Validation'!Y22/'Data Validation'!X22</f>
        <v>1.6196431080511451</v>
      </c>
      <c r="D12" s="16"/>
      <c r="E12" s="16"/>
      <c r="F12" s="16"/>
      <c r="G12" s="16"/>
      <c r="H12" s="1"/>
    </row>
    <row r="13" spans="1:8" x14ac:dyDescent="0.3">
      <c r="A13" s="1"/>
      <c r="B13" s="13" t="s">
        <v>206</v>
      </c>
      <c r="C13" s="13" t="s">
        <v>100</v>
      </c>
      <c r="D13" s="13" t="s">
        <v>101</v>
      </c>
      <c r="E13" s="13" t="s">
        <v>102</v>
      </c>
      <c r="F13" s="13" t="s">
        <v>103</v>
      </c>
      <c r="G13" s="13" t="s">
        <v>104</v>
      </c>
      <c r="H13" s="13" t="s">
        <v>105</v>
      </c>
    </row>
    <row r="14" spans="1:8" x14ac:dyDescent="0.3">
      <c r="A14" s="1"/>
      <c r="B14" s="7" t="s">
        <v>207</v>
      </c>
      <c r="C14" s="28">
        <f>SUM('Data Validation'!Y18:Y22)/SUM('Data Validation'!X18:X22)</f>
        <v>1.6600909204654459</v>
      </c>
      <c r="D14" s="28">
        <f>SUM('Data Validation'!Z18:Z21)/SUM('Data Validation'!Y18:Y21)</f>
        <v>1.2196486203891148</v>
      </c>
      <c r="E14" s="28">
        <f>SUM('Data Validation'!AA18:AA20)/SUM('Data Validation'!Z18:Z20)</f>
        <v>1.0963157267199235</v>
      </c>
      <c r="F14" s="28">
        <f>SUM('Data Validation'!AB18:AB19)/SUM('Data Validation'!AA18:AA19)</f>
        <v>1.0402183843041719</v>
      </c>
      <c r="G14" s="28">
        <f>SUM('Data Validation'!AC18:AC18)/SUM('Data Validation'!AB18:AB18)</f>
        <v>1.0374904034803378</v>
      </c>
      <c r="H14" s="1"/>
    </row>
    <row r="15" spans="1:8" x14ac:dyDescent="0.3">
      <c r="A15" s="1"/>
      <c r="B15" s="7" t="s">
        <v>208</v>
      </c>
      <c r="C15" s="28">
        <f>D15*C14</f>
        <v>2.3955810037263925</v>
      </c>
      <c r="D15" s="28">
        <f>E15*D14</f>
        <v>1.4430420491997717</v>
      </c>
      <c r="E15" s="28">
        <f>F15*E14</f>
        <v>1.1831621215128221</v>
      </c>
      <c r="F15" s="28">
        <f>G15*F14</f>
        <v>1.0792165912394005</v>
      </c>
      <c r="G15" s="28">
        <f>H15*G14</f>
        <v>1.0374904034803378</v>
      </c>
      <c r="H15" s="38">
        <v>1</v>
      </c>
    </row>
    <row r="16" spans="1:8" x14ac:dyDescent="0.3">
      <c r="A16" s="1"/>
      <c r="B16" s="7" t="s">
        <v>209</v>
      </c>
      <c r="C16" s="32">
        <f t="shared" ref="C16:H16" si="0">1/C15</f>
        <v>0.41743526870703695</v>
      </c>
      <c r="D16" s="32">
        <f t="shared" si="0"/>
        <v>0.69298049946260576</v>
      </c>
      <c r="E16" s="32">
        <f t="shared" si="0"/>
        <v>0.84519271012612696</v>
      </c>
      <c r="F16" s="32">
        <f t="shared" si="0"/>
        <v>0.92659806022030655</v>
      </c>
      <c r="G16" s="32">
        <f t="shared" si="0"/>
        <v>0.96386433710174713</v>
      </c>
      <c r="H16" s="32">
        <f t="shared" si="0"/>
        <v>1</v>
      </c>
    </row>
    <row r="17" spans="1:8" x14ac:dyDescent="0.3">
      <c r="A17" s="1"/>
      <c r="B17" s="6" t="s">
        <v>210</v>
      </c>
      <c r="C17" s="1"/>
      <c r="D17" s="1"/>
      <c r="E17" s="1"/>
      <c r="F17" s="1"/>
      <c r="G17" s="1"/>
      <c r="H17" s="39" t="str">
        <f>IF(AND(MIN(C14:G14)&gt;=1,SUMPRODUCT(--(C14:F14&lt;D14:G14))=0),"OK","REVIEW")</f>
        <v>OK</v>
      </c>
    </row>
    <row r="18" spans="1:8" x14ac:dyDescent="0.3">
      <c r="A18" s="1"/>
      <c r="B18" s="1"/>
      <c r="C18" s="1"/>
      <c r="D18" s="1"/>
      <c r="E18" s="1"/>
      <c r="F18" s="1"/>
      <c r="G18" s="1"/>
      <c r="H18" s="1"/>
    </row>
    <row r="19" spans="1:8" x14ac:dyDescent="0.3">
      <c r="A19" s="1"/>
      <c r="B19" s="1"/>
      <c r="C19" s="1"/>
      <c r="D19" s="1"/>
      <c r="E19" s="1"/>
      <c r="F19" s="1"/>
      <c r="G19" s="1"/>
      <c r="H19" s="1"/>
    </row>
    <row r="20" spans="1:8" x14ac:dyDescent="0.3">
      <c r="A20" s="1"/>
      <c r="B20" s="3" t="s">
        <v>69</v>
      </c>
      <c r="C20" s="1"/>
      <c r="D20" s="1"/>
      <c r="E20" s="1"/>
      <c r="F20" s="1"/>
      <c r="G20" s="1"/>
      <c r="H20" s="1"/>
    </row>
    <row r="21" spans="1:8" x14ac:dyDescent="0.3">
      <c r="A21" s="1"/>
      <c r="B21" s="5" t="s">
        <v>205</v>
      </c>
      <c r="C21" s="1"/>
      <c r="D21" s="1"/>
      <c r="E21" s="1"/>
      <c r="F21" s="1"/>
      <c r="G21" s="1"/>
      <c r="H21" s="1"/>
    </row>
    <row r="22" spans="1:8" x14ac:dyDescent="0.3">
      <c r="A22" s="1"/>
      <c r="B22" s="13" t="s">
        <v>55</v>
      </c>
      <c r="C22" s="13" t="s">
        <v>107</v>
      </c>
      <c r="D22" s="13" t="s">
        <v>108</v>
      </c>
      <c r="E22" s="13" t="s">
        <v>109</v>
      </c>
      <c r="F22" s="13" t="s">
        <v>110</v>
      </c>
      <c r="G22" s="13" t="s">
        <v>111</v>
      </c>
      <c r="H22" s="1"/>
    </row>
    <row r="23" spans="1:8" x14ac:dyDescent="0.3">
      <c r="A23" s="1"/>
      <c r="B23" s="14" t="s">
        <v>62</v>
      </c>
      <c r="C23" s="38">
        <f>'Data Validation'!Y34/'Data Validation'!X34</f>
        <v>1.9028064055811</v>
      </c>
      <c r="D23" s="38">
        <f>'Data Validation'!Z34/'Data Validation'!Y34</f>
        <v>1.2131489042579786</v>
      </c>
      <c r="E23" s="38">
        <f>'Data Validation'!AA34/'Data Validation'!Z34</f>
        <v>1.1190329006113058</v>
      </c>
      <c r="F23" s="38">
        <f>'Data Validation'!AB34/'Data Validation'!AA34</f>
        <v>1.1140437024306409</v>
      </c>
      <c r="G23" s="38">
        <f>'Data Validation'!AC34/'Data Validation'!AB34</f>
        <v>1.02</v>
      </c>
      <c r="H23" s="1"/>
    </row>
    <row r="24" spans="1:8" x14ac:dyDescent="0.3">
      <c r="A24" s="1"/>
      <c r="B24" s="14" t="s">
        <v>63</v>
      </c>
      <c r="C24" s="38">
        <f>'Data Validation'!Y35/'Data Validation'!X35</f>
        <v>2.033744131455399</v>
      </c>
      <c r="D24" s="38">
        <f>'Data Validation'!Z35/'Data Validation'!Y35</f>
        <v>1.2790260836483822</v>
      </c>
      <c r="E24" s="38">
        <f>'Data Validation'!AA35/'Data Validation'!Z35</f>
        <v>1.1284353335839266</v>
      </c>
      <c r="F24" s="38">
        <f>'Data Validation'!AB35/'Data Validation'!AA35</f>
        <v>1.0528315089718598</v>
      </c>
      <c r="G24" s="16"/>
      <c r="H24" s="1"/>
    </row>
    <row r="25" spans="1:8" x14ac:dyDescent="0.3">
      <c r="A25" s="1"/>
      <c r="B25" s="14" t="s">
        <v>64</v>
      </c>
      <c r="C25" s="38">
        <f>'Data Validation'!Y36/'Data Validation'!X36</f>
        <v>1.8705534865801976</v>
      </c>
      <c r="D25" s="38">
        <f>'Data Validation'!Z36/'Data Validation'!Y36</f>
        <v>1.3326925717424138</v>
      </c>
      <c r="E25" s="38">
        <f>'Data Validation'!AA36/'Data Validation'!Z36</f>
        <v>1.091901916340408</v>
      </c>
      <c r="F25" s="16"/>
      <c r="G25" s="16"/>
      <c r="H25" s="1"/>
    </row>
    <row r="26" spans="1:8" x14ac:dyDescent="0.3">
      <c r="A26" s="1"/>
      <c r="B26" s="14" t="s">
        <v>65</v>
      </c>
      <c r="C26" s="38">
        <f>'Data Validation'!Y37/'Data Validation'!X37</f>
        <v>2.0443447274646958</v>
      </c>
      <c r="D26" s="38">
        <f>'Data Validation'!Z37/'Data Validation'!Y37</f>
        <v>1.2795997417688831</v>
      </c>
      <c r="E26" s="16"/>
      <c r="F26" s="16"/>
      <c r="G26" s="16"/>
      <c r="H26" s="1"/>
    </row>
    <row r="27" spans="1:8" x14ac:dyDescent="0.3">
      <c r="A27" s="1"/>
      <c r="B27" s="14" t="s">
        <v>67</v>
      </c>
      <c r="C27" s="38">
        <f>'Data Validation'!Y38/'Data Validation'!X38</f>
        <v>1.7640812077043209</v>
      </c>
      <c r="D27" s="16"/>
      <c r="E27" s="16"/>
      <c r="F27" s="16"/>
      <c r="G27" s="16"/>
      <c r="H27" s="1"/>
    </row>
    <row r="28" spans="1:8" x14ac:dyDescent="0.3">
      <c r="A28" s="1"/>
      <c r="B28" s="13" t="s">
        <v>206</v>
      </c>
      <c r="C28" s="13" t="s">
        <v>100</v>
      </c>
      <c r="D28" s="13" t="s">
        <v>101</v>
      </c>
      <c r="E28" s="13" t="s">
        <v>102</v>
      </c>
      <c r="F28" s="13" t="s">
        <v>103</v>
      </c>
      <c r="G28" s="13" t="s">
        <v>104</v>
      </c>
      <c r="H28" s="13" t="s">
        <v>105</v>
      </c>
    </row>
    <row r="29" spans="1:8" x14ac:dyDescent="0.3">
      <c r="A29" s="1"/>
      <c r="B29" s="7" t="s">
        <v>207</v>
      </c>
      <c r="C29" s="28">
        <f>SUM('Data Validation'!Y34:Y38)/SUM('Data Validation'!X34:X38)</f>
        <v>1.912816339388848</v>
      </c>
      <c r="D29" s="28">
        <f>SUM('Data Validation'!Z34:Z37)/SUM('Data Validation'!Y34:Y37)</f>
        <v>1.2790260836483822</v>
      </c>
      <c r="E29" s="28">
        <f>SUM('Data Validation'!AA34:AA36)/SUM('Data Validation'!Z34:Z36)</f>
        <v>1.1120704854132897</v>
      </c>
      <c r="F29" s="28">
        <f>SUM('Data Validation'!AB34:AB35)/SUM('Data Validation'!AA34:AA35)</f>
        <v>1.0803052425686659</v>
      </c>
      <c r="G29" s="28">
        <f>SUM('Data Validation'!AC34:AC34)/SUM('Data Validation'!AB34:AB34)</f>
        <v>1.02</v>
      </c>
      <c r="H29" s="1"/>
    </row>
    <row r="30" spans="1:8" x14ac:dyDescent="0.3">
      <c r="A30" s="1"/>
      <c r="B30" s="7" t="s">
        <v>208</v>
      </c>
      <c r="C30" s="28">
        <f>D30*C29</f>
        <v>2.9980001086420325</v>
      </c>
      <c r="D30" s="28">
        <f>E30*D29</f>
        <v>1.5673225112662437</v>
      </c>
      <c r="E30" s="28">
        <f>F30*E29</f>
        <v>1.2254030870078152</v>
      </c>
      <c r="F30" s="28">
        <f>G30*F29</f>
        <v>1.1019113474200393</v>
      </c>
      <c r="G30" s="28">
        <f>H30*G29</f>
        <v>1.02</v>
      </c>
      <c r="H30" s="38">
        <v>1</v>
      </c>
    </row>
    <row r="31" spans="1:8" x14ac:dyDescent="0.3">
      <c r="A31" s="1"/>
      <c r="B31" s="7" t="s">
        <v>209</v>
      </c>
      <c r="C31" s="32">
        <f t="shared" ref="C31:H31" si="1">1/C30</f>
        <v>0.33355569171508731</v>
      </c>
      <c r="D31" s="32">
        <f t="shared" si="1"/>
        <v>0.63803077720876833</v>
      </c>
      <c r="E31" s="32">
        <f t="shared" si="1"/>
        <v>0.81605800622046443</v>
      </c>
      <c r="F31" s="32">
        <f t="shared" si="1"/>
        <v>0.90751402310299334</v>
      </c>
      <c r="G31" s="32">
        <f t="shared" si="1"/>
        <v>0.98039215686274506</v>
      </c>
      <c r="H31" s="32">
        <f t="shared" si="1"/>
        <v>1</v>
      </c>
    </row>
    <row r="32" spans="1:8" x14ac:dyDescent="0.3">
      <c r="A32" s="1"/>
      <c r="B32" s="6" t="s">
        <v>210</v>
      </c>
      <c r="C32" s="1"/>
      <c r="D32" s="1"/>
      <c r="E32" s="1"/>
      <c r="F32" s="1"/>
      <c r="G32" s="1"/>
      <c r="H32" s="39" t="str">
        <f>IF(AND(MIN(C29:G29)&gt;=1,SUMPRODUCT(--(C29:F29&lt;D29:G29))=0),"OK","REVIEW")</f>
        <v>OK</v>
      </c>
    </row>
    <row r="33" spans="1:8" x14ac:dyDescent="0.3">
      <c r="A33" s="1"/>
      <c r="B33" s="1"/>
      <c r="C33" s="1"/>
      <c r="D33" s="1"/>
      <c r="E33" s="1"/>
      <c r="F33" s="1"/>
      <c r="G33" s="1"/>
      <c r="H33" s="1"/>
    </row>
    <row r="34" spans="1:8" x14ac:dyDescent="0.3">
      <c r="A34" s="1"/>
      <c r="B34" s="1"/>
      <c r="C34" s="1"/>
      <c r="D34" s="1"/>
      <c r="E34" s="1"/>
      <c r="F34" s="1"/>
      <c r="G34" s="1"/>
      <c r="H34" s="1"/>
    </row>
    <row r="35" spans="1:8" x14ac:dyDescent="0.3">
      <c r="A35" s="1"/>
      <c r="B35" s="3" t="s">
        <v>70</v>
      </c>
      <c r="C35" s="1"/>
      <c r="D35" s="1"/>
      <c r="E35" s="1"/>
      <c r="F35" s="1"/>
      <c r="G35" s="1"/>
      <c r="H35" s="1"/>
    </row>
    <row r="36" spans="1:8" x14ac:dyDescent="0.3">
      <c r="A36" s="1"/>
      <c r="B36" s="5" t="s">
        <v>205</v>
      </c>
      <c r="C36" s="1"/>
      <c r="D36" s="1"/>
      <c r="E36" s="1"/>
      <c r="F36" s="1"/>
      <c r="G36" s="1"/>
      <c r="H36" s="1"/>
    </row>
    <row r="37" spans="1:8" x14ac:dyDescent="0.3">
      <c r="A37" s="1"/>
      <c r="B37" s="13" t="s">
        <v>55</v>
      </c>
      <c r="C37" s="13" t="s">
        <v>107</v>
      </c>
      <c r="D37" s="13" t="s">
        <v>108</v>
      </c>
      <c r="E37" s="13" t="s">
        <v>109</v>
      </c>
      <c r="F37" s="13" t="s">
        <v>110</v>
      </c>
      <c r="G37" s="13" t="s">
        <v>111</v>
      </c>
      <c r="H37" s="1"/>
    </row>
    <row r="38" spans="1:8" x14ac:dyDescent="0.3">
      <c r="A38" s="1"/>
      <c r="B38" s="14" t="s">
        <v>62</v>
      </c>
      <c r="C38" s="38">
        <f>'Data Validation'!Y50/'Data Validation'!X50</f>
        <v>2.092454835281615</v>
      </c>
      <c r="D38" s="38">
        <f>'Data Validation'!Z50/'Data Validation'!Y50</f>
        <v>1.3413578675588205</v>
      </c>
      <c r="E38" s="38">
        <f>'Data Validation'!AA50/'Data Validation'!Z50</f>
        <v>1.2886412287016762</v>
      </c>
      <c r="F38" s="38">
        <f>'Data Validation'!AB50/'Data Validation'!AA50</f>
        <v>1.0684106359177352</v>
      </c>
      <c r="G38" s="38">
        <f>'Data Validation'!AC50/'Data Validation'!AB50</f>
        <v>1.0471971649484537</v>
      </c>
      <c r="H38" s="1"/>
    </row>
    <row r="39" spans="1:8" x14ac:dyDescent="0.3">
      <c r="A39" s="1"/>
      <c r="B39" s="14" t="s">
        <v>63</v>
      </c>
      <c r="C39" s="38">
        <f>'Data Validation'!Y51/'Data Validation'!X51</f>
        <v>2.0597938144329899</v>
      </c>
      <c r="D39" s="38">
        <f>'Data Validation'!Z51/'Data Validation'!Y51</f>
        <v>1.3663663663663663</v>
      </c>
      <c r="E39" s="38">
        <f>'Data Validation'!AA51/'Data Validation'!Z51</f>
        <v>1.2074175824175823</v>
      </c>
      <c r="F39" s="38">
        <f>'Data Validation'!AB51/'Data Validation'!AA51</f>
        <v>1.0693211983314372</v>
      </c>
      <c r="G39" s="16"/>
      <c r="H39" s="1"/>
    </row>
    <row r="40" spans="1:8" x14ac:dyDescent="0.3">
      <c r="A40" s="1"/>
      <c r="B40" s="14" t="s">
        <v>64</v>
      </c>
      <c r="C40" s="38">
        <f>'Data Validation'!Y52/'Data Validation'!X52</f>
        <v>2.1930898753553465</v>
      </c>
      <c r="D40" s="38">
        <f>'Data Validation'!Z52/'Data Validation'!Y52</f>
        <v>1.3326353574633563</v>
      </c>
      <c r="E40" s="38">
        <f>'Data Validation'!AA52/'Data Validation'!Z52</f>
        <v>1.195660306771418</v>
      </c>
      <c r="F40" s="16"/>
      <c r="G40" s="16"/>
      <c r="H40" s="1"/>
    </row>
    <row r="41" spans="1:8" x14ac:dyDescent="0.3">
      <c r="A41" s="1"/>
      <c r="B41" s="14" t="s">
        <v>65</v>
      </c>
      <c r="C41" s="38">
        <f>'Data Validation'!Y53/'Data Validation'!X53</f>
        <v>2.1029509651652982</v>
      </c>
      <c r="D41" s="38">
        <f>'Data Validation'!Z53/'Data Validation'!Y53</f>
        <v>1.3294998944925089</v>
      </c>
      <c r="E41" s="16"/>
      <c r="F41" s="16"/>
      <c r="G41" s="16"/>
      <c r="H41" s="1"/>
    </row>
    <row r="42" spans="1:8" x14ac:dyDescent="0.3">
      <c r="A42" s="1"/>
      <c r="B42" s="14" t="s">
        <v>67</v>
      </c>
      <c r="C42" s="38">
        <f>'Data Validation'!Y54/'Data Validation'!X54</f>
        <v>2.0150437080707464</v>
      </c>
      <c r="D42" s="16"/>
      <c r="E42" s="16"/>
      <c r="F42" s="16"/>
      <c r="G42" s="16"/>
      <c r="H42" s="1"/>
    </row>
    <row r="43" spans="1:8" x14ac:dyDescent="0.3">
      <c r="A43" s="1"/>
      <c r="B43" s="13" t="s">
        <v>206</v>
      </c>
      <c r="C43" s="13" t="s">
        <v>100</v>
      </c>
      <c r="D43" s="13" t="s">
        <v>101</v>
      </c>
      <c r="E43" s="13" t="s">
        <v>102</v>
      </c>
      <c r="F43" s="13" t="s">
        <v>103</v>
      </c>
      <c r="G43" s="13" t="s">
        <v>104</v>
      </c>
      <c r="H43" s="13" t="s">
        <v>105</v>
      </c>
    </row>
    <row r="44" spans="1:8" x14ac:dyDescent="0.3">
      <c r="A44" s="1"/>
      <c r="B44" s="7" t="s">
        <v>207</v>
      </c>
      <c r="C44" s="28">
        <f>SUM('Data Validation'!Y50:Y54)/SUM('Data Validation'!X50:X54)</f>
        <v>2.092454835281615</v>
      </c>
      <c r="D44" s="28">
        <f>SUM('Data Validation'!Z50:Z53)/SUM('Data Validation'!Y50:Y53)</f>
        <v>1.3413578675588205</v>
      </c>
      <c r="E44" s="28">
        <f>SUM('Data Validation'!AA50:AA52)/SUM('Data Validation'!Z50:Z52)</f>
        <v>1.2246935188378372</v>
      </c>
      <c r="F44" s="28">
        <f>SUM('Data Validation'!AB50:AB51)/SUM('Data Validation'!AA50:AA51)</f>
        <v>1.068894622268806</v>
      </c>
      <c r="G44" s="28">
        <f>SUM('Data Validation'!AC50:AC50)/SUM('Data Validation'!AB50:AB50)</f>
        <v>1.0471971649484537</v>
      </c>
      <c r="H44" s="1"/>
    </row>
    <row r="45" spans="1:8" x14ac:dyDescent="0.3">
      <c r="A45" s="1"/>
      <c r="B45" s="7" t="s">
        <v>208</v>
      </c>
      <c r="C45" s="28">
        <f>D45*C44</f>
        <v>3.8476142368038424</v>
      </c>
      <c r="D45" s="28">
        <f>E45*D44</f>
        <v>1.8388039597929995</v>
      </c>
      <c r="E45" s="28">
        <f>F45*E44</f>
        <v>1.3708526294623349</v>
      </c>
      <c r="F45" s="28">
        <f>G45*F44</f>
        <v>1.119343418068542</v>
      </c>
      <c r="G45" s="28">
        <f>H45*G44</f>
        <v>1.0471971649484537</v>
      </c>
      <c r="H45" s="38">
        <v>1</v>
      </c>
    </row>
    <row r="46" spans="1:8" x14ac:dyDescent="0.3">
      <c r="A46" s="1"/>
      <c r="B46" s="7" t="s">
        <v>209</v>
      </c>
      <c r="C46" s="32">
        <f t="shared" ref="C46:H46" si="2">1/C45</f>
        <v>0.25990131506288572</v>
      </c>
      <c r="D46" s="32">
        <f t="shared" si="2"/>
        <v>0.54383176339938566</v>
      </c>
      <c r="E46" s="32">
        <f t="shared" si="2"/>
        <v>0.72947301446415302</v>
      </c>
      <c r="F46" s="32">
        <f t="shared" si="2"/>
        <v>0.89338087298134794</v>
      </c>
      <c r="G46" s="32">
        <f t="shared" si="2"/>
        <v>0.95493001076757411</v>
      </c>
      <c r="H46" s="32">
        <f t="shared" si="2"/>
        <v>1</v>
      </c>
    </row>
    <row r="47" spans="1:8" x14ac:dyDescent="0.3">
      <c r="A47" s="1"/>
      <c r="B47" s="6" t="s">
        <v>210</v>
      </c>
      <c r="C47" s="1"/>
      <c r="D47" s="1"/>
      <c r="E47" s="1"/>
      <c r="F47" s="1"/>
      <c r="G47" s="1"/>
      <c r="H47" s="39" t="str">
        <f>IF(AND(MIN(C44:G44)&gt;=1,SUMPRODUCT(--(C44:F44&lt;D44:G44))=0),"OK","REVIEW")</f>
        <v>OK</v>
      </c>
    </row>
  </sheetData>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pageSetUpPr fitToPage="1"/>
  </sheetPr>
  <dimension ref="A1:H46"/>
  <sheetViews>
    <sheetView showGridLines="0" zoomScaleNormal="100" workbookViewId="0">
      <pane xSplit="2" ySplit="2" topLeftCell="C32" activePane="bottomRight" state="frozen"/>
      <selection pane="topRight" activeCell="C1" sqref="C1"/>
      <selection pane="bottomLeft" activeCell="A3" sqref="A3"/>
      <selection pane="bottomRight" activeCell="F40" sqref="F40"/>
    </sheetView>
  </sheetViews>
  <sheetFormatPr defaultColWidth="8.6640625" defaultRowHeight="14.4" x14ac:dyDescent="0.3"/>
  <cols>
    <col min="1" max="1" width="2" customWidth="1"/>
    <col min="2" max="2" width="16" customWidth="1"/>
    <col min="3" max="3" width="14" customWidth="1"/>
    <col min="4" max="4" width="15" customWidth="1"/>
    <col min="5" max="5" width="12" customWidth="1"/>
    <col min="6" max="7" width="15" customWidth="1"/>
    <col min="8" max="8" width="12" customWidth="1"/>
    <col min="9" max="9" width="3" customWidth="1"/>
    <col min="10" max="10" width="58" customWidth="1"/>
  </cols>
  <sheetData>
    <row r="1" spans="1:8" ht="17.399999999999999" x14ac:dyDescent="0.3">
      <c r="A1" s="1"/>
      <c r="B1" s="2" t="s">
        <v>211</v>
      </c>
      <c r="C1" s="1"/>
      <c r="D1" s="1"/>
      <c r="E1" s="1"/>
      <c r="F1" s="1"/>
      <c r="G1" s="1"/>
      <c r="H1" s="1"/>
    </row>
    <row r="2" spans="1:8" x14ac:dyDescent="0.3">
      <c r="A2" s="1"/>
      <c r="B2" s="4" t="s">
        <v>212</v>
      </c>
      <c r="C2" s="1"/>
      <c r="D2" s="1"/>
      <c r="E2" s="1"/>
      <c r="F2" s="1"/>
      <c r="G2" s="1"/>
      <c r="H2" s="1"/>
    </row>
    <row r="3" spans="1:8" x14ac:dyDescent="0.3">
      <c r="A3" s="1"/>
      <c r="B3" s="1"/>
      <c r="C3" s="1"/>
      <c r="D3" s="1"/>
      <c r="E3" s="1"/>
      <c r="F3" s="1"/>
      <c r="G3" s="1"/>
      <c r="H3" s="1"/>
    </row>
    <row r="4" spans="1:8" x14ac:dyDescent="0.3">
      <c r="A4" s="1"/>
      <c r="B4" s="1"/>
      <c r="C4" s="1"/>
      <c r="D4" s="1"/>
      <c r="E4" s="1"/>
      <c r="F4" s="1"/>
      <c r="G4" s="1"/>
      <c r="H4" s="1"/>
    </row>
    <row r="5" spans="1:8" x14ac:dyDescent="0.3">
      <c r="A5" s="1"/>
      <c r="B5" s="3" t="s">
        <v>54</v>
      </c>
      <c r="C5" s="1"/>
      <c r="D5" s="1"/>
      <c r="E5" s="1"/>
      <c r="F5" s="1"/>
      <c r="G5" s="1"/>
      <c r="H5" s="1"/>
    </row>
    <row r="6" spans="1:8" ht="26.4" x14ac:dyDescent="0.3">
      <c r="A6" s="1"/>
      <c r="B6" s="13" t="s">
        <v>55</v>
      </c>
      <c r="C6" s="13" t="s">
        <v>206</v>
      </c>
      <c r="D6" s="13" t="s">
        <v>213</v>
      </c>
      <c r="E6" s="13" t="s">
        <v>214</v>
      </c>
      <c r="F6" s="13" t="s">
        <v>215</v>
      </c>
      <c r="G6" s="13" t="s">
        <v>216</v>
      </c>
      <c r="H6" s="13" t="s">
        <v>217</v>
      </c>
    </row>
    <row r="7" spans="1:8" x14ac:dyDescent="0.3">
      <c r="A7" s="1"/>
      <c r="B7" s="14" t="s">
        <v>62</v>
      </c>
      <c r="C7" s="40">
        <v>72</v>
      </c>
      <c r="D7" s="20">
        <f>'Data Validation'!AC18</f>
        <v>2432.5</v>
      </c>
      <c r="E7" s="41">
        <f>'Dev Factors'!H15</f>
        <v>1</v>
      </c>
      <c r="F7" s="42">
        <f t="shared" ref="F7:F12" si="0">D7*E7</f>
        <v>2432.5</v>
      </c>
      <c r="G7" s="23">
        <f t="shared" ref="G7:G12" si="1">F7-D7</f>
        <v>0</v>
      </c>
      <c r="H7" s="32">
        <f t="shared" ref="H7:H13" si="2">D7/F7</f>
        <v>1</v>
      </c>
    </row>
    <row r="8" spans="1:8" x14ac:dyDescent="0.3">
      <c r="A8" s="1"/>
      <c r="B8" s="14" t="s">
        <v>63</v>
      </c>
      <c r="C8" s="40">
        <v>60</v>
      </c>
      <c r="D8" s="20">
        <f>'Data Validation'!AB19</f>
        <v>2437.6999999999998</v>
      </c>
      <c r="E8" s="41">
        <f>'Dev Factors'!G15</f>
        <v>1.0374904034803378</v>
      </c>
      <c r="F8" s="42">
        <f t="shared" si="0"/>
        <v>2529.0903565640192</v>
      </c>
      <c r="G8" s="23">
        <f t="shared" si="1"/>
        <v>91.390356564019385</v>
      </c>
      <c r="H8" s="32">
        <f t="shared" si="2"/>
        <v>0.96386433710174724</v>
      </c>
    </row>
    <row r="9" spans="1:8" x14ac:dyDescent="0.3">
      <c r="A9" s="1"/>
      <c r="B9" s="14" t="s">
        <v>64</v>
      </c>
      <c r="C9" s="40">
        <v>48</v>
      </c>
      <c r="D9" s="20">
        <f>'Data Validation'!AA20</f>
        <v>2898.3298867294616</v>
      </c>
      <c r="E9" s="41">
        <f>'Dev Factors'!F15</f>
        <v>1.0792165912394005</v>
      </c>
      <c r="F9" s="42">
        <f t="shared" si="0"/>
        <v>3127.9257006434473</v>
      </c>
      <c r="G9" s="23">
        <f t="shared" si="1"/>
        <v>229.59581391398569</v>
      </c>
      <c r="H9" s="32">
        <f t="shared" si="2"/>
        <v>0.92659806022030655</v>
      </c>
    </row>
    <row r="10" spans="1:8" x14ac:dyDescent="0.3">
      <c r="A10" s="1"/>
      <c r="B10" s="14" t="s">
        <v>65</v>
      </c>
      <c r="C10" s="40">
        <v>36</v>
      </c>
      <c r="D10" s="20">
        <f>'Data Validation'!Z21</f>
        <v>2705.1</v>
      </c>
      <c r="E10" s="41">
        <f>'Dev Factors'!E15</f>
        <v>1.1831621215128221</v>
      </c>
      <c r="F10" s="42">
        <f t="shared" si="0"/>
        <v>3200.5718549043349</v>
      </c>
      <c r="G10" s="23">
        <f t="shared" si="1"/>
        <v>495.47185490433503</v>
      </c>
      <c r="H10" s="32">
        <f t="shared" si="2"/>
        <v>0.84519271012612696</v>
      </c>
    </row>
    <row r="11" spans="1:8" x14ac:dyDescent="0.3">
      <c r="A11" s="1"/>
      <c r="B11" s="14" t="s">
        <v>67</v>
      </c>
      <c r="C11" s="40">
        <v>24</v>
      </c>
      <c r="D11" s="20">
        <f>'Data Validation'!Y22</f>
        <v>2305.4</v>
      </c>
      <c r="E11" s="41">
        <f>'Dev Factors'!D15</f>
        <v>1.4430420491997717</v>
      </c>
      <c r="F11" s="42">
        <f t="shared" si="0"/>
        <v>3326.7891402251539</v>
      </c>
      <c r="G11" s="23">
        <f t="shared" si="1"/>
        <v>1021.3891402251538</v>
      </c>
      <c r="H11" s="32">
        <f t="shared" si="2"/>
        <v>0.69298049946260576</v>
      </c>
    </row>
    <row r="12" spans="1:8" x14ac:dyDescent="0.3">
      <c r="A12" s="1"/>
      <c r="B12" s="14" t="s">
        <v>68</v>
      </c>
      <c r="C12" s="40">
        <v>12</v>
      </c>
      <c r="D12" s="20">
        <f>'Data Validation'!X23</f>
        <v>1525.9</v>
      </c>
      <c r="E12" s="41">
        <f>'Dev Factors'!C15</f>
        <v>2.3955810037263925</v>
      </c>
      <c r="F12" s="42">
        <f t="shared" si="0"/>
        <v>3655.4170535861026</v>
      </c>
      <c r="G12" s="23">
        <f t="shared" si="1"/>
        <v>2129.5170535861025</v>
      </c>
      <c r="H12" s="32">
        <f t="shared" si="2"/>
        <v>0.41743526870703695</v>
      </c>
    </row>
    <row r="13" spans="1:8" x14ac:dyDescent="0.3">
      <c r="A13" s="1"/>
      <c r="B13" s="43" t="s">
        <v>218</v>
      </c>
      <c r="C13" s="1"/>
      <c r="D13" s="42">
        <f>D7+D8+D9+D10+D11+D12</f>
        <v>14304.92988672946</v>
      </c>
      <c r="E13" s="1"/>
      <c r="F13" s="42">
        <f>F7+F8+F9+F10+F11+F12</f>
        <v>18272.294105923058</v>
      </c>
      <c r="G13" s="42">
        <f>G7+G8+G9+G10+G11+G12</f>
        <v>3967.3642191935965</v>
      </c>
      <c r="H13" s="44">
        <f t="shared" si="2"/>
        <v>0.78287541804028005</v>
      </c>
    </row>
    <row r="14" spans="1:8" x14ac:dyDescent="0.3">
      <c r="A14" s="1"/>
      <c r="B14" s="6" t="s">
        <v>219</v>
      </c>
      <c r="C14" s="1"/>
      <c r="D14" s="1"/>
      <c r="E14" s="1"/>
      <c r="F14" s="39" t="str">
        <f>IF(SUMPRODUCT(--(F7:F12&lt;D7:D12))=0,"OK","REVIEW")</f>
        <v>OK</v>
      </c>
      <c r="G14" s="1"/>
      <c r="H14" s="1"/>
    </row>
    <row r="15" spans="1:8" x14ac:dyDescent="0.3">
      <c r="A15" s="1"/>
      <c r="B15" s="1"/>
      <c r="C15" s="1"/>
      <c r="D15" s="1"/>
      <c r="E15" s="1"/>
      <c r="F15" s="1"/>
      <c r="G15" s="1"/>
      <c r="H15" s="1"/>
    </row>
    <row r="16" spans="1:8" x14ac:dyDescent="0.3">
      <c r="A16" s="1"/>
      <c r="B16" s="1"/>
      <c r="C16" s="1"/>
      <c r="D16" s="1"/>
      <c r="E16" s="1"/>
      <c r="F16" s="1"/>
      <c r="G16" s="1"/>
      <c r="H16" s="1"/>
    </row>
    <row r="17" spans="1:8" x14ac:dyDescent="0.3">
      <c r="A17" s="1"/>
      <c r="B17" s="1"/>
      <c r="C17" s="1"/>
      <c r="D17" s="1"/>
      <c r="E17" s="1"/>
      <c r="F17" s="1"/>
      <c r="G17" s="1"/>
      <c r="H17" s="1"/>
    </row>
    <row r="18" spans="1:8" x14ac:dyDescent="0.3">
      <c r="A18" s="1"/>
      <c r="B18" s="3" t="s">
        <v>69</v>
      </c>
      <c r="C18" s="1"/>
      <c r="D18" s="1"/>
      <c r="E18" s="1"/>
      <c r="F18" s="1"/>
      <c r="G18" s="1"/>
      <c r="H18" s="1"/>
    </row>
    <row r="19" spans="1:8" ht="26.4" x14ac:dyDescent="0.3">
      <c r="A19" s="1"/>
      <c r="B19" s="13" t="s">
        <v>55</v>
      </c>
      <c r="C19" s="13" t="s">
        <v>206</v>
      </c>
      <c r="D19" s="13" t="s">
        <v>213</v>
      </c>
      <c r="E19" s="13" t="s">
        <v>214</v>
      </c>
      <c r="F19" s="13" t="s">
        <v>215</v>
      </c>
      <c r="G19" s="13" t="s">
        <v>216</v>
      </c>
      <c r="H19" s="13" t="s">
        <v>217</v>
      </c>
    </row>
    <row r="20" spans="1:8" x14ac:dyDescent="0.3">
      <c r="A20" s="1"/>
      <c r="B20" s="14" t="s">
        <v>62</v>
      </c>
      <c r="C20" s="40">
        <v>72</v>
      </c>
      <c r="D20" s="20">
        <f>'Data Validation'!AC34</f>
        <v>1851.3</v>
      </c>
      <c r="E20" s="41">
        <f>'Dev Factors'!H30</f>
        <v>1</v>
      </c>
      <c r="F20" s="42">
        <f t="shared" ref="F20:F25" si="3">D20*E20</f>
        <v>1851.3</v>
      </c>
      <c r="G20" s="23">
        <f t="shared" ref="G20:G25" si="4">F20-D20</f>
        <v>0</v>
      </c>
      <c r="H20" s="32">
        <f t="shared" ref="H20:H26" si="5">D20/F20</f>
        <v>1</v>
      </c>
    </row>
    <row r="21" spans="1:8" x14ac:dyDescent="0.3">
      <c r="A21" s="1"/>
      <c r="B21" s="14" t="s">
        <v>63</v>
      </c>
      <c r="C21" s="40">
        <v>60</v>
      </c>
      <c r="D21" s="20">
        <f>'Data Validation'!AB35</f>
        <v>2106.4</v>
      </c>
      <c r="E21" s="41">
        <f>'Dev Factors'!G30</f>
        <v>1.02</v>
      </c>
      <c r="F21" s="42">
        <f t="shared" si="3"/>
        <v>2148.5280000000002</v>
      </c>
      <c r="G21" s="23">
        <f t="shared" si="4"/>
        <v>42.128000000000156</v>
      </c>
      <c r="H21" s="32">
        <f t="shared" si="5"/>
        <v>0.98039215686274506</v>
      </c>
    </row>
    <row r="22" spans="1:8" x14ac:dyDescent="0.3">
      <c r="A22" s="1"/>
      <c r="B22" s="14" t="s">
        <v>64</v>
      </c>
      <c r="C22" s="40">
        <v>48</v>
      </c>
      <c r="D22" s="20">
        <f>'Data Validation'!AA36</f>
        <v>2119.6</v>
      </c>
      <c r="E22" s="41">
        <f>'Dev Factors'!F30</f>
        <v>1.1019113474200393</v>
      </c>
      <c r="F22" s="42">
        <f t="shared" si="3"/>
        <v>2335.6112919915149</v>
      </c>
      <c r="G22" s="23">
        <f t="shared" si="4"/>
        <v>216.01129199151501</v>
      </c>
      <c r="H22" s="32">
        <f t="shared" si="5"/>
        <v>0.90751402310299334</v>
      </c>
    </row>
    <row r="23" spans="1:8" x14ac:dyDescent="0.3">
      <c r="A23" s="1"/>
      <c r="B23" s="14" t="s">
        <v>65</v>
      </c>
      <c r="C23" s="40">
        <v>36</v>
      </c>
      <c r="D23" s="20">
        <f>'Data Validation'!Z37</f>
        <v>1982.1</v>
      </c>
      <c r="E23" s="41">
        <f>'Dev Factors'!E30</f>
        <v>1.2254030870078152</v>
      </c>
      <c r="F23" s="42">
        <f t="shared" si="3"/>
        <v>2428.8714587581903</v>
      </c>
      <c r="G23" s="23">
        <f t="shared" si="4"/>
        <v>446.77145875819042</v>
      </c>
      <c r="H23" s="32">
        <f t="shared" si="5"/>
        <v>0.81605800622046443</v>
      </c>
    </row>
    <row r="24" spans="1:8" x14ac:dyDescent="0.3">
      <c r="A24" s="1"/>
      <c r="B24" s="14" t="s">
        <v>67</v>
      </c>
      <c r="C24" s="40">
        <v>24</v>
      </c>
      <c r="D24" s="20">
        <f>'Data Validation'!Y38</f>
        <v>1694.4</v>
      </c>
      <c r="E24" s="41">
        <f>'Dev Factors'!D30</f>
        <v>1.5673225112662437</v>
      </c>
      <c r="F24" s="42">
        <f t="shared" si="3"/>
        <v>2655.6712630895236</v>
      </c>
      <c r="G24" s="23">
        <f t="shared" si="4"/>
        <v>961.27126308952347</v>
      </c>
      <c r="H24" s="32">
        <f t="shared" si="5"/>
        <v>0.63803077720876833</v>
      </c>
    </row>
    <row r="25" spans="1:8" x14ac:dyDescent="0.3">
      <c r="A25" s="1"/>
      <c r="B25" s="14" t="s">
        <v>68</v>
      </c>
      <c r="C25" s="40">
        <v>12</v>
      </c>
      <c r="D25" s="20">
        <f>'Data Validation'!X39</f>
        <v>907</v>
      </c>
      <c r="E25" s="41">
        <f>'Dev Factors'!C30</f>
        <v>2.9980001086420325</v>
      </c>
      <c r="F25" s="42">
        <f t="shared" si="3"/>
        <v>2719.1860985383237</v>
      </c>
      <c r="G25" s="23">
        <f t="shared" si="4"/>
        <v>1812.1860985383237</v>
      </c>
      <c r="H25" s="32">
        <f t="shared" si="5"/>
        <v>0.33355569171508725</v>
      </c>
    </row>
    <row r="26" spans="1:8" x14ac:dyDescent="0.3">
      <c r="A26" s="1"/>
      <c r="B26" s="43" t="s">
        <v>218</v>
      </c>
      <c r="C26" s="1"/>
      <c r="D26" s="42">
        <f>D20+D21+D22+D23+D24+D25</f>
        <v>10660.8</v>
      </c>
      <c r="E26" s="1"/>
      <c r="F26" s="42">
        <f>F20+F21+F22+F23+F24+F25</f>
        <v>14139.168112377552</v>
      </c>
      <c r="G26" s="42">
        <f>G20+G21+G22+G23+G24+G25</f>
        <v>3478.3681123775527</v>
      </c>
      <c r="H26" s="44">
        <f t="shared" si="5"/>
        <v>0.75399061071120876</v>
      </c>
    </row>
    <row r="27" spans="1:8" x14ac:dyDescent="0.3">
      <c r="A27" s="1"/>
      <c r="B27" s="6" t="s">
        <v>219</v>
      </c>
      <c r="C27" s="1"/>
      <c r="D27" s="1"/>
      <c r="E27" s="1"/>
      <c r="F27" s="39" t="str">
        <f>IF(SUMPRODUCT(--(F20:F25&lt;D20:D25))=0,"OK","REVIEW")</f>
        <v>OK</v>
      </c>
      <c r="G27" s="1"/>
      <c r="H27" s="1"/>
    </row>
    <row r="28" spans="1:8" x14ac:dyDescent="0.3">
      <c r="A28" s="1"/>
      <c r="B28" s="1"/>
      <c r="C28" s="1"/>
      <c r="D28" s="1"/>
      <c r="E28" s="1"/>
      <c r="F28" s="1"/>
      <c r="G28" s="1"/>
      <c r="H28" s="1"/>
    </row>
    <row r="29" spans="1:8" x14ac:dyDescent="0.3">
      <c r="A29" s="1"/>
      <c r="B29" s="1"/>
      <c r="C29" s="1"/>
      <c r="D29" s="1"/>
      <c r="E29" s="1"/>
      <c r="F29" s="1"/>
      <c r="G29" s="1"/>
      <c r="H29" s="1"/>
    </row>
    <row r="30" spans="1:8" x14ac:dyDescent="0.3">
      <c r="A30" s="1"/>
      <c r="B30" s="1"/>
      <c r="C30" s="1"/>
      <c r="D30" s="1"/>
      <c r="E30" s="1"/>
      <c r="F30" s="1"/>
      <c r="G30" s="1"/>
      <c r="H30" s="1"/>
    </row>
    <row r="31" spans="1:8" x14ac:dyDescent="0.3">
      <c r="A31" s="1"/>
      <c r="B31" s="3" t="s">
        <v>70</v>
      </c>
      <c r="C31" s="1"/>
      <c r="D31" s="1"/>
      <c r="E31" s="1"/>
      <c r="F31" s="1"/>
      <c r="G31" s="1"/>
      <c r="H31" s="1"/>
    </row>
    <row r="32" spans="1:8" ht="26.4" x14ac:dyDescent="0.3">
      <c r="A32" s="1"/>
      <c r="B32" s="13" t="s">
        <v>55</v>
      </c>
      <c r="C32" s="13" t="s">
        <v>206</v>
      </c>
      <c r="D32" s="13" t="s">
        <v>213</v>
      </c>
      <c r="E32" s="13" t="s">
        <v>214</v>
      </c>
      <c r="F32" s="13" t="s">
        <v>215</v>
      </c>
      <c r="G32" s="13" t="s">
        <v>216</v>
      </c>
      <c r="H32" s="13" t="s">
        <v>217</v>
      </c>
    </row>
    <row r="33" spans="1:8" x14ac:dyDescent="0.3">
      <c r="A33" s="1"/>
      <c r="B33" s="14" t="s">
        <v>62</v>
      </c>
      <c r="C33" s="40">
        <v>72</v>
      </c>
      <c r="D33" s="20">
        <f>'Data Validation'!AC50</f>
        <v>1300.2</v>
      </c>
      <c r="E33" s="41">
        <f>'Dev Factors'!H45</f>
        <v>1</v>
      </c>
      <c r="F33" s="42">
        <f t="shared" ref="F33:F38" si="6">D33*E33</f>
        <v>1300.2</v>
      </c>
      <c r="G33" s="23">
        <f t="shared" ref="G33:G38" si="7">F33-D33</f>
        <v>0</v>
      </c>
      <c r="H33" s="32">
        <f t="shared" ref="H33:H39" si="8">D33/F33</f>
        <v>1</v>
      </c>
    </row>
    <row r="34" spans="1:8" x14ac:dyDescent="0.3">
      <c r="A34" s="1"/>
      <c r="B34" s="14" t="s">
        <v>63</v>
      </c>
      <c r="C34" s="40">
        <v>60</v>
      </c>
      <c r="D34" s="20">
        <f>'Data Validation'!AB51</f>
        <v>1409.9</v>
      </c>
      <c r="E34" s="41">
        <f>'Dev Factors'!G45</f>
        <v>1.0471971649484537</v>
      </c>
      <c r="F34" s="42">
        <f t="shared" si="6"/>
        <v>1476.4432828608251</v>
      </c>
      <c r="G34" s="23">
        <f t="shared" si="7"/>
        <v>66.543282860825002</v>
      </c>
      <c r="H34" s="32">
        <f t="shared" si="8"/>
        <v>0.954930010767574</v>
      </c>
    </row>
    <row r="35" spans="1:8" x14ac:dyDescent="0.3">
      <c r="A35" s="1"/>
      <c r="B35" s="14" t="s">
        <v>64</v>
      </c>
      <c r="C35" s="40">
        <v>48</v>
      </c>
      <c r="D35" s="20">
        <f>'Data Validation'!AA52</f>
        <v>1598</v>
      </c>
      <c r="E35" s="41">
        <f>'Dev Factors'!F45</f>
        <v>1.119343418068542</v>
      </c>
      <c r="F35" s="42">
        <f t="shared" si="6"/>
        <v>1788.71078207353</v>
      </c>
      <c r="G35" s="23">
        <f t="shared" si="7"/>
        <v>190.71078207353003</v>
      </c>
      <c r="H35" s="32">
        <f t="shared" si="8"/>
        <v>0.89338087298134805</v>
      </c>
    </row>
    <row r="36" spans="1:8" x14ac:dyDescent="0.3">
      <c r="A36" s="1"/>
      <c r="B36" s="14" t="s">
        <v>65</v>
      </c>
      <c r="C36" s="40">
        <v>36</v>
      </c>
      <c r="D36" s="20">
        <f>'Data Validation'!Z53</f>
        <v>1260.0999999999999</v>
      </c>
      <c r="E36" s="41">
        <f>'Dev Factors'!E45</f>
        <v>1.3708526294623349</v>
      </c>
      <c r="F36" s="42">
        <f t="shared" si="6"/>
        <v>1727.4113983854882</v>
      </c>
      <c r="G36" s="23">
        <f t="shared" si="7"/>
        <v>467.31139838548825</v>
      </c>
      <c r="H36" s="32">
        <f t="shared" si="8"/>
        <v>0.72947301446415302</v>
      </c>
    </row>
    <row r="37" spans="1:8" x14ac:dyDescent="0.3">
      <c r="A37" s="1"/>
      <c r="B37" s="14" t="s">
        <v>67</v>
      </c>
      <c r="C37" s="40">
        <v>24</v>
      </c>
      <c r="D37" s="20">
        <f>'Data Validation'!Y54</f>
        <v>991.2</v>
      </c>
      <c r="E37" s="41">
        <f>'Dev Factors'!D45</f>
        <v>1.8388039597929995</v>
      </c>
      <c r="F37" s="42">
        <f t="shared" si="6"/>
        <v>1822.6224849468213</v>
      </c>
      <c r="G37" s="23">
        <f t="shared" si="7"/>
        <v>831.42248494682121</v>
      </c>
      <c r="H37" s="32">
        <f t="shared" si="8"/>
        <v>0.54383176339938566</v>
      </c>
    </row>
    <row r="38" spans="1:8" x14ac:dyDescent="0.3">
      <c r="A38" s="1"/>
      <c r="B38" s="14" t="s">
        <v>68</v>
      </c>
      <c r="C38" s="40">
        <v>12</v>
      </c>
      <c r="D38" s="20">
        <f>'Data Validation'!X55</f>
        <v>469</v>
      </c>
      <c r="E38" s="41">
        <f>'Dev Factors'!C45</f>
        <v>3.8476142368038424</v>
      </c>
      <c r="F38" s="42">
        <f t="shared" si="6"/>
        <v>1804.5310770610022</v>
      </c>
      <c r="G38" s="23">
        <f t="shared" si="7"/>
        <v>1335.5310770610022</v>
      </c>
      <c r="H38" s="32">
        <f t="shared" si="8"/>
        <v>0.25990131506288572</v>
      </c>
    </row>
    <row r="39" spans="1:8" x14ac:dyDescent="0.3">
      <c r="A39" s="1"/>
      <c r="B39" s="43" t="s">
        <v>218</v>
      </c>
      <c r="C39" s="1"/>
      <c r="D39" s="42">
        <f>D33+D34+D35+D36+D37+D38</f>
        <v>7028.4000000000005</v>
      </c>
      <c r="E39" s="1"/>
      <c r="F39" s="42">
        <f>F33+F34+F35+F36+F37+F38</f>
        <v>9919.9190253276684</v>
      </c>
      <c r="G39" s="42">
        <f>G33+G34+G35+G36+G37+G38</f>
        <v>2891.5190253276669</v>
      </c>
      <c r="H39" s="44">
        <f t="shared" si="8"/>
        <v>0.70851384795127836</v>
      </c>
    </row>
    <row r="40" spans="1:8" x14ac:dyDescent="0.3">
      <c r="A40" s="1"/>
      <c r="B40" s="6" t="s">
        <v>219</v>
      </c>
      <c r="C40" s="1"/>
      <c r="D40" s="1"/>
      <c r="E40" s="1"/>
      <c r="F40" s="39" t="str">
        <f>IF(SUMPRODUCT(--(F33:F38&lt;D33:D38))=0,"OK","REVIEW")</f>
        <v>OK</v>
      </c>
      <c r="G40" s="1"/>
      <c r="H40" s="1"/>
    </row>
    <row r="41" spans="1:8" x14ac:dyDescent="0.3">
      <c r="A41" s="1"/>
      <c r="B41" s="1"/>
      <c r="C41" s="1"/>
      <c r="D41" s="1"/>
      <c r="E41" s="1"/>
      <c r="F41" s="1"/>
      <c r="G41" s="1"/>
      <c r="H41" s="1"/>
    </row>
    <row r="42" spans="1:8" x14ac:dyDescent="0.3">
      <c r="A42" s="1"/>
      <c r="B42" s="1"/>
      <c r="C42" s="1"/>
      <c r="D42" s="1"/>
      <c r="E42" s="1"/>
      <c r="F42" s="1"/>
      <c r="G42" s="1"/>
      <c r="H42" s="1"/>
    </row>
    <row r="43" spans="1:8" x14ac:dyDescent="0.3">
      <c r="A43" s="1"/>
      <c r="B43" s="1"/>
      <c r="C43" s="1"/>
      <c r="D43" s="1"/>
      <c r="E43" s="1"/>
      <c r="F43" s="1"/>
      <c r="G43" s="1"/>
      <c r="H43" s="1"/>
    </row>
    <row r="44" spans="1:8" x14ac:dyDescent="0.3">
      <c r="A44" s="1"/>
      <c r="B44" s="3" t="s">
        <v>220</v>
      </c>
      <c r="C44" s="1"/>
      <c r="D44" s="1"/>
      <c r="E44" s="1"/>
      <c r="F44" s="1"/>
      <c r="G44" s="1"/>
      <c r="H44" s="1"/>
    </row>
    <row r="45" spans="1:8" ht="26.4" x14ac:dyDescent="0.3">
      <c r="A45" s="1"/>
      <c r="B45" s="13"/>
      <c r="C45" s="13"/>
      <c r="D45" s="13" t="s">
        <v>213</v>
      </c>
      <c r="E45" s="13"/>
      <c r="F45" s="13" t="s">
        <v>215</v>
      </c>
      <c r="G45" s="13" t="s">
        <v>216</v>
      </c>
      <c r="H45" s="13"/>
    </row>
    <row r="46" spans="1:8" x14ac:dyDescent="0.3">
      <c r="A46" s="1"/>
      <c r="B46" s="45" t="s">
        <v>218</v>
      </c>
      <c r="C46" s="1"/>
      <c r="D46" s="42">
        <f>D13+D26+D39</f>
        <v>31994.129886729461</v>
      </c>
      <c r="E46" s="1"/>
      <c r="F46" s="42">
        <f>F13+F26+F39</f>
        <v>42331.381243628275</v>
      </c>
      <c r="G46" s="42">
        <f>G13+G26+G39</f>
        <v>10337.251356898816</v>
      </c>
      <c r="H46" s="1"/>
    </row>
  </sheetData>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pageSetUpPr fitToPage="1"/>
  </sheetPr>
  <dimension ref="A1:K69"/>
  <sheetViews>
    <sheetView showGridLines="0" zoomScaleNormal="100" workbookViewId="0">
      <pane xSplit="2" ySplit="2" topLeftCell="C62" activePane="bottomRight" state="frozen"/>
      <selection pane="topRight" activeCell="C1" sqref="C1"/>
      <selection pane="bottomLeft" activeCell="A3" sqref="A3"/>
      <selection pane="bottomRight" activeCell="C25" sqref="C25"/>
    </sheetView>
  </sheetViews>
  <sheetFormatPr defaultColWidth="8.6640625" defaultRowHeight="14.4" x14ac:dyDescent="0.3"/>
  <cols>
    <col min="1" max="1" width="2" customWidth="1"/>
    <col min="2" max="2" width="13" customWidth="1"/>
    <col min="3" max="5" width="12" customWidth="1"/>
    <col min="6" max="6" width="13" customWidth="1"/>
    <col min="7" max="7" width="14" customWidth="1"/>
    <col min="8" max="8" width="11" customWidth="1"/>
    <col min="9" max="9" width="14" customWidth="1"/>
    <col min="10" max="10" width="15" customWidth="1"/>
    <col min="11" max="11" width="11" customWidth="1"/>
    <col min="12" max="12" width="3" customWidth="1"/>
    <col min="13" max="13" width="56" customWidth="1"/>
  </cols>
  <sheetData>
    <row r="1" spans="1:11" ht="17.399999999999999" x14ac:dyDescent="0.3">
      <c r="A1" s="1"/>
      <c r="B1" s="2" t="s">
        <v>221</v>
      </c>
      <c r="C1" s="1"/>
      <c r="D1" s="1"/>
      <c r="E1" s="1"/>
      <c r="F1" s="1"/>
      <c r="G1" s="1"/>
      <c r="H1" s="1"/>
      <c r="I1" s="1"/>
      <c r="J1" s="1"/>
      <c r="K1" s="1"/>
    </row>
    <row r="2" spans="1:11" x14ac:dyDescent="0.3">
      <c r="A2" s="1"/>
      <c r="B2" s="4" t="s">
        <v>222</v>
      </c>
      <c r="C2" s="1"/>
      <c r="D2" s="1"/>
      <c r="E2" s="1"/>
      <c r="F2" s="1"/>
      <c r="G2" s="1"/>
      <c r="H2" s="1"/>
      <c r="I2" s="1"/>
      <c r="J2" s="1"/>
      <c r="K2" s="1"/>
    </row>
    <row r="3" spans="1:11" x14ac:dyDescent="0.3">
      <c r="A3" s="1"/>
      <c r="B3" s="1"/>
      <c r="C3" s="1"/>
      <c r="D3" s="1"/>
      <c r="E3" s="1"/>
      <c r="F3" s="1"/>
      <c r="G3" s="1"/>
      <c r="H3" s="1"/>
      <c r="I3" s="1"/>
      <c r="J3" s="1"/>
      <c r="K3" s="1"/>
    </row>
    <row r="4" spans="1:11" x14ac:dyDescent="0.3">
      <c r="A4" s="1"/>
      <c r="B4" s="1"/>
      <c r="C4" s="1"/>
      <c r="D4" s="1"/>
      <c r="E4" s="1"/>
      <c r="F4" s="1"/>
      <c r="G4" s="1"/>
      <c r="H4" s="1"/>
      <c r="I4" s="1"/>
      <c r="J4" s="1"/>
      <c r="K4" s="1"/>
    </row>
    <row r="5" spans="1:11" x14ac:dyDescent="0.3">
      <c r="A5" s="1"/>
      <c r="B5" s="1"/>
      <c r="C5" s="1"/>
      <c r="D5" s="1"/>
      <c r="E5" s="1"/>
      <c r="F5" s="1"/>
      <c r="G5" s="1"/>
      <c r="H5" s="1"/>
      <c r="I5" s="1"/>
      <c r="J5" s="1"/>
      <c r="K5" s="1"/>
    </row>
    <row r="6" spans="1:11" x14ac:dyDescent="0.3">
      <c r="A6" s="1"/>
      <c r="B6" s="3" t="s">
        <v>54</v>
      </c>
      <c r="C6" s="1"/>
      <c r="D6" s="1"/>
      <c r="E6" s="1"/>
      <c r="F6" s="1"/>
      <c r="G6" s="1"/>
      <c r="H6" s="1"/>
      <c r="I6" s="1"/>
      <c r="J6" s="1"/>
      <c r="K6" s="1"/>
    </row>
    <row r="7" spans="1:11" ht="39.6" x14ac:dyDescent="0.3">
      <c r="A7" s="1"/>
      <c r="B7" s="13" t="s">
        <v>55</v>
      </c>
      <c r="C7" s="13" t="s">
        <v>223</v>
      </c>
      <c r="D7" s="13" t="s">
        <v>224</v>
      </c>
      <c r="E7" s="13" t="s">
        <v>225</v>
      </c>
      <c r="F7" s="13" t="s">
        <v>226</v>
      </c>
      <c r="G7" s="13" t="s">
        <v>227</v>
      </c>
      <c r="H7" s="13" t="s">
        <v>228</v>
      </c>
      <c r="I7" s="13" t="s">
        <v>229</v>
      </c>
      <c r="J7" s="13" t="s">
        <v>230</v>
      </c>
      <c r="K7" s="13" t="s">
        <v>231</v>
      </c>
    </row>
    <row r="8" spans="1:11" x14ac:dyDescent="0.3">
      <c r="A8" s="1"/>
      <c r="B8" s="46">
        <v>2020</v>
      </c>
      <c r="C8" s="29">
        <f>'Data Validation'!K67</f>
        <v>0.02</v>
      </c>
      <c r="D8" s="38">
        <f>1+C8</f>
        <v>1.02</v>
      </c>
      <c r="E8" s="38">
        <f t="shared" ref="E8:E13" si="0">$D$13/D8</f>
        <v>1.1677742052187496</v>
      </c>
      <c r="F8" s="47">
        <f>'Raw Data'!C63</f>
        <v>4200</v>
      </c>
      <c r="G8" s="23">
        <f t="shared" ref="G8:G13" si="1">F8*E8</f>
        <v>4904.6516619187487</v>
      </c>
      <c r="H8" s="38">
        <f t="shared" ref="H8:H13" si="2">(1+Loss_trend)^($B$13-B8)</f>
        <v>1.3069600064093747</v>
      </c>
      <c r="I8" s="20">
        <f>'S1 Chain Ladder'!F7</f>
        <v>2432.5</v>
      </c>
      <c r="J8" s="23">
        <f t="shared" ref="J8:J13" si="3">I8*H8</f>
        <v>3179.180215590804</v>
      </c>
      <c r="K8" s="21">
        <f t="shared" ref="K8:K13" si="4">IF(B8&lt;=$B$8+INDEX(Cred_mature,1)-1,1,0)</f>
        <v>1</v>
      </c>
    </row>
    <row r="9" spans="1:11" x14ac:dyDescent="0.3">
      <c r="A9" s="1"/>
      <c r="B9" s="46">
        <v>2021</v>
      </c>
      <c r="C9" s="29">
        <f>'Data Validation'!K68</f>
        <v>-1.4999999999999999E-2</v>
      </c>
      <c r="D9" s="38">
        <f>D8*(1+C9)</f>
        <v>1.0046999999999999</v>
      </c>
      <c r="E9" s="38">
        <f t="shared" si="0"/>
        <v>1.1855575687499997</v>
      </c>
      <c r="F9" s="47">
        <f>'Raw Data'!C64</f>
        <v>4450</v>
      </c>
      <c r="G9" s="23">
        <f t="shared" si="1"/>
        <v>5275.7311809374987</v>
      </c>
      <c r="H9" s="38">
        <f t="shared" si="2"/>
        <v>1.2388246506249998</v>
      </c>
      <c r="I9" s="20">
        <f>'S1 Chain Ladder'!F8</f>
        <v>2529.0903565640192</v>
      </c>
      <c r="J9" s="23">
        <f t="shared" si="3"/>
        <v>3133.0994773694774</v>
      </c>
      <c r="K9" s="21">
        <f t="shared" si="4"/>
        <v>1</v>
      </c>
    </row>
    <row r="10" spans="1:11" x14ac:dyDescent="0.3">
      <c r="A10" s="1"/>
      <c r="B10" s="46">
        <v>2022</v>
      </c>
      <c r="C10" s="29">
        <f>'Data Validation'!K69</f>
        <v>0.01</v>
      </c>
      <c r="D10" s="38">
        <f>D9*(1+C10)</f>
        <v>1.0147469999999998</v>
      </c>
      <c r="E10" s="38">
        <f t="shared" si="0"/>
        <v>1.1738193749999999</v>
      </c>
      <c r="F10" s="47">
        <f>'Raw Data'!C65</f>
        <v>4600</v>
      </c>
      <c r="G10" s="23">
        <f t="shared" si="1"/>
        <v>5399.5691249999991</v>
      </c>
      <c r="H10" s="38">
        <f t="shared" si="2"/>
        <v>1.1742413749999998</v>
      </c>
      <c r="I10" s="20">
        <f>'S1 Chain Ladder'!F9</f>
        <v>3127.9257006434473</v>
      </c>
      <c r="J10" s="23">
        <f t="shared" si="3"/>
        <v>3672.9397756213993</v>
      </c>
      <c r="K10" s="21">
        <f t="shared" si="4"/>
        <v>1</v>
      </c>
    </row>
    <row r="11" spans="1:11" x14ac:dyDescent="0.3">
      <c r="A11" s="1"/>
      <c r="B11" s="46">
        <v>2023</v>
      </c>
      <c r="C11" s="29">
        <f>'Data Validation'!K70</f>
        <v>5.5E-2</v>
      </c>
      <c r="D11" s="38">
        <f>D10*(1+C11)</f>
        <v>1.0705580849999998</v>
      </c>
      <c r="E11" s="38">
        <f t="shared" si="0"/>
        <v>1.112625</v>
      </c>
      <c r="F11" s="47">
        <f>'Raw Data'!C66</f>
        <v>4900</v>
      </c>
      <c r="G11" s="23">
        <f t="shared" si="1"/>
        <v>5451.8625000000002</v>
      </c>
      <c r="H11" s="38">
        <f t="shared" si="2"/>
        <v>1.1130249999999999</v>
      </c>
      <c r="I11" s="20">
        <f>'S1 Chain Ladder'!F10</f>
        <v>3200.5718549043349</v>
      </c>
      <c r="J11" s="23">
        <f t="shared" si="3"/>
        <v>3562.3164888048973</v>
      </c>
      <c r="K11" s="21">
        <f t="shared" si="4"/>
        <v>0</v>
      </c>
    </row>
    <row r="12" spans="1:11" x14ac:dyDescent="0.3">
      <c r="A12" s="1"/>
      <c r="B12" s="46">
        <v>2024</v>
      </c>
      <c r="C12" s="29">
        <f>'Data Validation'!K71</f>
        <v>7.4999999999999997E-2</v>
      </c>
      <c r="D12" s="38">
        <f>D11*(1+C12)</f>
        <v>1.1508499413749997</v>
      </c>
      <c r="E12" s="38">
        <f t="shared" si="0"/>
        <v>1.0349999999999999</v>
      </c>
      <c r="F12" s="47">
        <f>'Raw Data'!C67</f>
        <v>5350</v>
      </c>
      <c r="G12" s="23">
        <f t="shared" si="1"/>
        <v>5537.25</v>
      </c>
      <c r="H12" s="38">
        <f t="shared" si="2"/>
        <v>1.0549999999999999</v>
      </c>
      <c r="I12" s="20">
        <f>'S1 Chain Ladder'!F11</f>
        <v>3326.7891402251539</v>
      </c>
      <c r="J12" s="23">
        <f t="shared" si="3"/>
        <v>3509.7625429375371</v>
      </c>
      <c r="K12" s="21">
        <f t="shared" si="4"/>
        <v>0</v>
      </c>
    </row>
    <row r="13" spans="1:11" x14ac:dyDescent="0.3">
      <c r="A13" s="1"/>
      <c r="B13" s="46">
        <v>2025</v>
      </c>
      <c r="C13" s="29">
        <f>'Data Validation'!K72</f>
        <v>3.5000000000000003E-2</v>
      </c>
      <c r="D13" s="38">
        <f>D12*(1+C13)</f>
        <v>1.1911296893231247</v>
      </c>
      <c r="E13" s="38">
        <f t="shared" si="0"/>
        <v>1</v>
      </c>
      <c r="F13" s="47">
        <f>'Raw Data'!C68</f>
        <v>5700</v>
      </c>
      <c r="G13" s="23">
        <f t="shared" si="1"/>
        <v>5700</v>
      </c>
      <c r="H13" s="38">
        <f t="shared" si="2"/>
        <v>1</v>
      </c>
      <c r="I13" s="20">
        <f>'S1 Chain Ladder'!F12</f>
        <v>3655.4170535861026</v>
      </c>
      <c r="J13" s="23">
        <f t="shared" si="3"/>
        <v>3655.4170535861026</v>
      </c>
      <c r="K13" s="21">
        <f t="shared" si="4"/>
        <v>0</v>
      </c>
    </row>
    <row r="14" spans="1:11" x14ac:dyDescent="0.3">
      <c r="A14" s="1"/>
      <c r="B14" s="5" t="s">
        <v>232</v>
      </c>
      <c r="C14" s="1"/>
      <c r="D14" s="1"/>
      <c r="E14" s="1"/>
      <c r="F14" s="1"/>
      <c r="G14" s="1"/>
      <c r="H14" s="1"/>
      <c r="I14" s="1"/>
      <c r="J14" s="1"/>
      <c r="K14" s="1"/>
    </row>
    <row r="15" spans="1:11" x14ac:dyDescent="0.3">
      <c r="A15" s="1"/>
      <c r="B15" s="6" t="s">
        <v>233</v>
      </c>
      <c r="C15" s="48">
        <f>SUM(K8:K13)</f>
        <v>3</v>
      </c>
      <c r="D15" s="1"/>
      <c r="E15" s="1"/>
      <c r="F15" s="1"/>
      <c r="G15" s="1"/>
      <c r="H15" s="1"/>
      <c r="I15" s="1"/>
      <c r="J15" s="1"/>
      <c r="K15" s="1"/>
    </row>
    <row r="16" spans="1:11" x14ac:dyDescent="0.3">
      <c r="A16" s="1"/>
      <c r="B16" s="6" t="s">
        <v>234</v>
      </c>
      <c r="C16" s="23">
        <f>SUMPRODUCT($K$8:$K$13,$J$8:$J$13)</f>
        <v>9985.2194685816794</v>
      </c>
      <c r="D16" s="1"/>
      <c r="E16" s="1"/>
      <c r="F16" s="1"/>
      <c r="G16" s="1"/>
      <c r="H16" s="1"/>
      <c r="I16" s="1"/>
      <c r="J16" s="1"/>
      <c r="K16" s="1"/>
    </row>
    <row r="17" spans="1:11" x14ac:dyDescent="0.3">
      <c r="A17" s="1"/>
      <c r="B17" s="6" t="s">
        <v>235</v>
      </c>
      <c r="C17" s="23">
        <f>SUMPRODUCT($K$8:$K$13,$G$8:$G$13)</f>
        <v>15579.951967856246</v>
      </c>
      <c r="D17" s="1"/>
      <c r="E17" s="1"/>
      <c r="F17" s="1"/>
      <c r="G17" s="1"/>
      <c r="H17" s="1"/>
      <c r="I17" s="1"/>
      <c r="J17" s="1"/>
      <c r="K17" s="1"/>
    </row>
    <row r="18" spans="1:11" x14ac:dyDescent="0.3">
      <c r="A18" s="1"/>
      <c r="B18" s="6" t="s">
        <v>236</v>
      </c>
      <c r="C18" s="49">
        <f>C16/C17</f>
        <v>0.64090181338059771</v>
      </c>
      <c r="D18" s="1"/>
      <c r="E18" s="1"/>
      <c r="F18" s="1"/>
      <c r="G18" s="1"/>
      <c r="H18" s="1"/>
      <c r="I18" s="1"/>
      <c r="J18" s="1"/>
      <c r="K18" s="1"/>
    </row>
    <row r="19" spans="1:11" x14ac:dyDescent="0.3">
      <c r="A19" s="1"/>
      <c r="B19" s="6" t="s">
        <v>237</v>
      </c>
      <c r="C19" s="50">
        <f>SUMPRODUCT($K$8:$K$13,'Raw Data'!C41:C46)</f>
        <v>940</v>
      </c>
      <c r="D19" s="1"/>
      <c r="E19" s="1"/>
      <c r="F19" s="1"/>
      <c r="G19" s="1"/>
      <c r="H19" s="1"/>
      <c r="I19" s="1"/>
      <c r="J19" s="1"/>
      <c r="K19" s="1"/>
    </row>
    <row r="20" spans="1:11" x14ac:dyDescent="0.3">
      <c r="A20" s="1"/>
      <c r="B20" s="6" t="s">
        <v>238</v>
      </c>
      <c r="C20" s="50">
        <f>INDEX(Cred_full,1)</f>
        <v>1082</v>
      </c>
      <c r="D20" s="1"/>
      <c r="E20" s="1"/>
      <c r="F20" s="1"/>
      <c r="G20" s="1"/>
      <c r="H20" s="1"/>
      <c r="I20" s="1"/>
      <c r="J20" s="1"/>
      <c r="K20" s="1"/>
    </row>
    <row r="21" spans="1:11" x14ac:dyDescent="0.3">
      <c r="A21" s="1"/>
      <c r="B21" s="6" t="s">
        <v>239</v>
      </c>
      <c r="C21" s="28">
        <f>MIN(1,SQRT(C19/C20))</f>
        <v>0.93207379143511049</v>
      </c>
      <c r="D21" s="1"/>
      <c r="E21" s="1"/>
      <c r="F21" s="1"/>
      <c r="G21" s="1"/>
      <c r="H21" s="1"/>
      <c r="I21" s="1"/>
      <c r="J21" s="1"/>
      <c r="K21" s="1"/>
    </row>
    <row r="22" spans="1:11" x14ac:dyDescent="0.3">
      <c r="A22" s="1"/>
      <c r="B22" s="6" t="s">
        <v>240</v>
      </c>
      <c r="C22" s="51">
        <f>INDEX(Plan_LR,1)</f>
        <v>0.62</v>
      </c>
      <c r="D22" s="1"/>
      <c r="E22" s="1"/>
      <c r="F22" s="1"/>
      <c r="G22" s="1"/>
      <c r="H22" s="1"/>
      <c r="I22" s="1"/>
      <c r="J22" s="1"/>
      <c r="K22" s="1"/>
    </row>
    <row r="23" spans="1:11" x14ac:dyDescent="0.3">
      <c r="A23" s="1"/>
      <c r="B23" s="6" t="s">
        <v>241</v>
      </c>
      <c r="C23" s="49">
        <f>C21*C18+(1-C21)*C22</f>
        <v>0.63948203244552282</v>
      </c>
      <c r="D23" s="1"/>
      <c r="E23" s="1"/>
      <c r="F23" s="1"/>
      <c r="G23" s="1"/>
      <c r="H23" s="1"/>
      <c r="I23" s="1"/>
      <c r="J23" s="1"/>
      <c r="K23" s="1"/>
    </row>
    <row r="24" spans="1:11" x14ac:dyDescent="0.3">
      <c r="A24" s="1"/>
      <c r="B24" s="6" t="s">
        <v>242</v>
      </c>
      <c r="C24" s="39" t="str">
        <f>IF(AND(C21&gt;=0,C21&lt;=1,C23&gt;=MIN(C18,C22)-0.0001,C23&lt;=MAX(C18,C22)+0.0001),"OK","REVIEW")</f>
        <v>OK</v>
      </c>
      <c r="D24" s="1"/>
      <c r="E24" s="1"/>
      <c r="F24" s="1"/>
      <c r="G24" s="1"/>
      <c r="H24" s="1"/>
      <c r="I24" s="1"/>
      <c r="J24" s="1"/>
      <c r="K24" s="1"/>
    </row>
    <row r="25" spans="1:11" x14ac:dyDescent="0.3">
      <c r="A25" s="1"/>
      <c r="B25" s="6" t="s">
        <v>243</v>
      </c>
      <c r="C25" s="39" t="str">
        <f>IF(ABS(E13-1)&lt;0.000001,"OK","REVIEW")</f>
        <v>OK</v>
      </c>
      <c r="D25" s="1"/>
      <c r="E25" s="1"/>
      <c r="F25" s="1"/>
      <c r="G25" s="1"/>
      <c r="H25" s="1"/>
      <c r="I25" s="1"/>
      <c r="J25" s="1"/>
      <c r="K25" s="1"/>
    </row>
    <row r="26" spans="1:11" x14ac:dyDescent="0.3">
      <c r="A26" s="1"/>
      <c r="B26" s="1"/>
      <c r="C26" s="1"/>
      <c r="D26" s="1"/>
      <c r="E26" s="1"/>
      <c r="F26" s="1"/>
      <c r="G26" s="1"/>
      <c r="H26" s="1"/>
      <c r="I26" s="1"/>
      <c r="J26" s="1"/>
      <c r="K26" s="1"/>
    </row>
    <row r="27" spans="1:11" x14ac:dyDescent="0.3">
      <c r="A27" s="1"/>
      <c r="B27" s="1"/>
      <c r="C27" s="1"/>
      <c r="D27" s="1"/>
      <c r="E27" s="1"/>
      <c r="F27" s="1"/>
      <c r="G27" s="1"/>
      <c r="H27" s="1"/>
      <c r="I27" s="1"/>
      <c r="J27" s="1"/>
      <c r="K27" s="1"/>
    </row>
    <row r="28" spans="1:11" x14ac:dyDescent="0.3">
      <c r="A28" s="1"/>
      <c r="B28" s="3" t="s">
        <v>69</v>
      </c>
      <c r="C28" s="1"/>
      <c r="D28" s="1"/>
      <c r="E28" s="1"/>
      <c r="F28" s="1"/>
      <c r="G28" s="1"/>
      <c r="H28" s="1"/>
      <c r="I28" s="1"/>
      <c r="J28" s="1"/>
      <c r="K28" s="1"/>
    </row>
    <row r="29" spans="1:11" ht="39.6" x14ac:dyDescent="0.3">
      <c r="A29" s="1"/>
      <c r="B29" s="13" t="s">
        <v>55</v>
      </c>
      <c r="C29" s="13" t="s">
        <v>223</v>
      </c>
      <c r="D29" s="13" t="s">
        <v>224</v>
      </c>
      <c r="E29" s="13" t="s">
        <v>225</v>
      </c>
      <c r="F29" s="13" t="s">
        <v>226</v>
      </c>
      <c r="G29" s="13" t="s">
        <v>227</v>
      </c>
      <c r="H29" s="13" t="s">
        <v>228</v>
      </c>
      <c r="I29" s="13" t="s">
        <v>229</v>
      </c>
      <c r="J29" s="13" t="s">
        <v>230</v>
      </c>
      <c r="K29" s="13" t="s">
        <v>231</v>
      </c>
    </row>
    <row r="30" spans="1:11" x14ac:dyDescent="0.3">
      <c r="A30" s="1"/>
      <c r="B30" s="46">
        <v>2020</v>
      </c>
      <c r="C30" s="29">
        <f>'Data Validation'!L67</f>
        <v>0.03</v>
      </c>
      <c r="D30" s="38">
        <f>1+C30</f>
        <v>1.03</v>
      </c>
      <c r="E30" s="38">
        <f t="shared" ref="E30:E35" si="5">$D$35/D30</f>
        <v>1.18867484896875</v>
      </c>
      <c r="F30" s="47">
        <f>'Raw Data'!D63</f>
        <v>3100</v>
      </c>
      <c r="G30" s="23">
        <f t="shared" ref="G30:G35" si="6">F30*E30</f>
        <v>3684.8920318031251</v>
      </c>
      <c r="H30" s="38">
        <f t="shared" ref="H30:H35" si="7">(1+Loss_trend)^($B$35-B30)</f>
        <v>1.3069600064093747</v>
      </c>
      <c r="I30" s="20">
        <f>'S1 Chain Ladder'!F20</f>
        <v>1851.3</v>
      </c>
      <c r="J30" s="23">
        <f t="shared" ref="J30:J35" si="8">I30*H30</f>
        <v>2419.5750598656755</v>
      </c>
      <c r="K30" s="21">
        <f t="shared" ref="K30:K35" si="9">IF(B30&lt;=$B$30+INDEX(Cred_mature,2)-1,1,0)</f>
        <v>1</v>
      </c>
    </row>
    <row r="31" spans="1:11" x14ac:dyDescent="0.3">
      <c r="A31" s="1"/>
      <c r="B31" s="46">
        <v>2021</v>
      </c>
      <c r="C31" s="29">
        <f>'Data Validation'!L68</f>
        <v>-2.5000000000000001E-2</v>
      </c>
      <c r="D31" s="38">
        <f>D30*(1+C31)</f>
        <v>1.0042500000000001</v>
      </c>
      <c r="E31" s="38">
        <f t="shared" si="5"/>
        <v>1.2191536912499998</v>
      </c>
      <c r="F31" s="47">
        <f>'Raw Data'!D64</f>
        <v>3250</v>
      </c>
      <c r="G31" s="23">
        <f t="shared" si="6"/>
        <v>3962.2494965624996</v>
      </c>
      <c r="H31" s="38">
        <f t="shared" si="7"/>
        <v>1.2388246506249998</v>
      </c>
      <c r="I31" s="20">
        <f>'S1 Chain Ladder'!F21</f>
        <v>2148.5280000000002</v>
      </c>
      <c r="J31" s="23">
        <f t="shared" si="8"/>
        <v>2661.64944895803</v>
      </c>
      <c r="K31" s="21">
        <f t="shared" si="9"/>
        <v>1</v>
      </c>
    </row>
    <row r="32" spans="1:11" x14ac:dyDescent="0.3">
      <c r="A32" s="1"/>
      <c r="B32" s="46">
        <v>2022</v>
      </c>
      <c r="C32" s="29">
        <f>'Data Validation'!L69</f>
        <v>5.0000000000000001E-3</v>
      </c>
      <c r="D32" s="38">
        <f>D31*(1+C32)</f>
        <v>1.0092712500000001</v>
      </c>
      <c r="E32" s="38">
        <f t="shared" si="5"/>
        <v>1.2130882499999998</v>
      </c>
      <c r="F32" s="47">
        <f>'Raw Data'!D65</f>
        <v>3300</v>
      </c>
      <c r="G32" s="23">
        <f t="shared" si="6"/>
        <v>4003.1912249999991</v>
      </c>
      <c r="H32" s="38">
        <f t="shared" si="7"/>
        <v>1.1742413749999998</v>
      </c>
      <c r="I32" s="20">
        <f>'S1 Chain Ladder'!F22</f>
        <v>2335.6112919915149</v>
      </c>
      <c r="J32" s="23">
        <f t="shared" si="8"/>
        <v>2742.5714149736427</v>
      </c>
      <c r="K32" s="21">
        <f t="shared" si="9"/>
        <v>1</v>
      </c>
    </row>
    <row r="33" spans="1:11" x14ac:dyDescent="0.3">
      <c r="A33" s="1"/>
      <c r="B33" s="46">
        <v>2023</v>
      </c>
      <c r="C33" s="29">
        <f>'Data Validation'!L70</f>
        <v>6.5000000000000002E-2</v>
      </c>
      <c r="D33" s="38">
        <f>D32*(1+C33)</f>
        <v>1.0748738812500001</v>
      </c>
      <c r="E33" s="38">
        <f t="shared" si="5"/>
        <v>1.1390499999999999</v>
      </c>
      <c r="F33" s="47">
        <f>'Raw Data'!D66</f>
        <v>3500</v>
      </c>
      <c r="G33" s="23">
        <f t="shared" si="6"/>
        <v>3986.6749999999997</v>
      </c>
      <c r="H33" s="38">
        <f t="shared" si="7"/>
        <v>1.1130249999999999</v>
      </c>
      <c r="I33" s="20">
        <f>'S1 Chain Ladder'!F23</f>
        <v>2428.8714587581903</v>
      </c>
      <c r="J33" s="23">
        <f t="shared" si="8"/>
        <v>2703.3946553843348</v>
      </c>
      <c r="K33" s="21">
        <f t="shared" si="9"/>
        <v>0</v>
      </c>
    </row>
    <row r="34" spans="1:11" x14ac:dyDescent="0.3">
      <c r="A34" s="1"/>
      <c r="B34" s="46">
        <v>2024</v>
      </c>
      <c r="C34" s="29">
        <f>'Data Validation'!L71</f>
        <v>0.09</v>
      </c>
      <c r="D34" s="38">
        <f>D33*(1+C34)</f>
        <v>1.1716125305625</v>
      </c>
      <c r="E34" s="38">
        <f t="shared" si="5"/>
        <v>1.0449999999999999</v>
      </c>
      <c r="F34" s="47">
        <f>'Raw Data'!D67</f>
        <v>3850</v>
      </c>
      <c r="G34" s="23">
        <f t="shared" si="6"/>
        <v>4023.2499999999995</v>
      </c>
      <c r="H34" s="38">
        <f t="shared" si="7"/>
        <v>1.0549999999999999</v>
      </c>
      <c r="I34" s="20">
        <f>'S1 Chain Ladder'!F24</f>
        <v>2655.6712630895236</v>
      </c>
      <c r="J34" s="23">
        <f t="shared" si="8"/>
        <v>2801.7331825594474</v>
      </c>
      <c r="K34" s="21">
        <f t="shared" si="9"/>
        <v>0</v>
      </c>
    </row>
    <row r="35" spans="1:11" x14ac:dyDescent="0.3">
      <c r="A35" s="1"/>
      <c r="B35" s="46">
        <v>2025</v>
      </c>
      <c r="C35" s="29">
        <f>'Data Validation'!L72</f>
        <v>4.4999999999999998E-2</v>
      </c>
      <c r="D35" s="38">
        <f>D34*(1+C35)</f>
        <v>1.2243350944378124</v>
      </c>
      <c r="E35" s="38">
        <f t="shared" si="5"/>
        <v>1</v>
      </c>
      <c r="F35" s="47">
        <f>'Raw Data'!D68</f>
        <v>4150</v>
      </c>
      <c r="G35" s="23">
        <f t="shared" si="6"/>
        <v>4150</v>
      </c>
      <c r="H35" s="38">
        <f t="shared" si="7"/>
        <v>1</v>
      </c>
      <c r="I35" s="20">
        <f>'S1 Chain Ladder'!F25</f>
        <v>2719.1860985383237</v>
      </c>
      <c r="J35" s="23">
        <f t="shared" si="8"/>
        <v>2719.1860985383237</v>
      </c>
      <c r="K35" s="21">
        <f t="shared" si="9"/>
        <v>0</v>
      </c>
    </row>
    <row r="36" spans="1:11" x14ac:dyDescent="0.3">
      <c r="A36" s="1"/>
      <c r="B36" s="5" t="s">
        <v>232</v>
      </c>
      <c r="C36" s="1"/>
      <c r="D36" s="1"/>
      <c r="E36" s="1"/>
      <c r="F36" s="1"/>
      <c r="G36" s="1"/>
      <c r="H36" s="1"/>
      <c r="I36" s="1"/>
      <c r="J36" s="1"/>
      <c r="K36" s="1"/>
    </row>
    <row r="37" spans="1:11" x14ac:dyDescent="0.3">
      <c r="A37" s="1"/>
      <c r="B37" s="6" t="s">
        <v>233</v>
      </c>
      <c r="C37" s="48">
        <f>SUM(K30:K35)</f>
        <v>3</v>
      </c>
      <c r="D37" s="1"/>
      <c r="E37" s="1"/>
      <c r="F37" s="1"/>
      <c r="G37" s="1"/>
      <c r="H37" s="1"/>
      <c r="I37" s="1"/>
      <c r="J37" s="1"/>
      <c r="K37" s="1"/>
    </row>
    <row r="38" spans="1:11" x14ac:dyDescent="0.3">
      <c r="A38" s="1"/>
      <c r="B38" s="6" t="s">
        <v>234</v>
      </c>
      <c r="C38" s="23">
        <f>SUMPRODUCT($K$30:$K$35,$J$30:$J$35)</f>
        <v>7823.7959237973482</v>
      </c>
      <c r="D38" s="1"/>
      <c r="E38" s="1"/>
      <c r="F38" s="1"/>
      <c r="G38" s="1"/>
      <c r="H38" s="1"/>
      <c r="I38" s="1"/>
      <c r="J38" s="1"/>
      <c r="K38" s="1"/>
    </row>
    <row r="39" spans="1:11" x14ac:dyDescent="0.3">
      <c r="A39" s="1"/>
      <c r="B39" s="6" t="s">
        <v>235</v>
      </c>
      <c r="C39" s="23">
        <f>SUMPRODUCT($K$30:$K$35,$G$30:$G$35)</f>
        <v>11650.332753365623</v>
      </c>
      <c r="D39" s="1"/>
      <c r="E39" s="1"/>
      <c r="F39" s="1"/>
      <c r="G39" s="1"/>
      <c r="H39" s="1"/>
      <c r="I39" s="1"/>
      <c r="J39" s="1"/>
      <c r="K39" s="1"/>
    </row>
    <row r="40" spans="1:11" x14ac:dyDescent="0.3">
      <c r="A40" s="1"/>
      <c r="B40" s="6" t="s">
        <v>236</v>
      </c>
      <c r="C40" s="49">
        <f>C38/C39</f>
        <v>0.67155128436457401</v>
      </c>
      <c r="D40" s="1"/>
      <c r="E40" s="1"/>
      <c r="F40" s="1"/>
      <c r="G40" s="1"/>
      <c r="H40" s="1"/>
      <c r="I40" s="1"/>
      <c r="J40" s="1"/>
      <c r="K40" s="1"/>
    </row>
    <row r="41" spans="1:11" x14ac:dyDescent="0.3">
      <c r="A41" s="1"/>
      <c r="B41" s="6" t="s">
        <v>237</v>
      </c>
      <c r="C41" s="50">
        <f>SUMPRODUCT($K$30:$K$35,'Raw Data'!D41:D46)</f>
        <v>450</v>
      </c>
      <c r="D41" s="1"/>
      <c r="E41" s="1"/>
      <c r="F41" s="1"/>
      <c r="G41" s="1"/>
      <c r="H41" s="1"/>
      <c r="I41" s="1"/>
      <c r="J41" s="1"/>
      <c r="K41" s="1"/>
    </row>
    <row r="42" spans="1:11" x14ac:dyDescent="0.3">
      <c r="A42" s="1"/>
      <c r="B42" s="6" t="s">
        <v>238</v>
      </c>
      <c r="C42" s="50">
        <f>INDEX(Cred_full,2)</f>
        <v>1082</v>
      </c>
      <c r="D42" s="1"/>
      <c r="E42" s="1"/>
      <c r="F42" s="1"/>
      <c r="G42" s="1"/>
      <c r="H42" s="1"/>
      <c r="I42" s="1"/>
      <c r="J42" s="1"/>
      <c r="K42" s="1"/>
    </row>
    <row r="43" spans="1:11" x14ac:dyDescent="0.3">
      <c r="A43" s="1"/>
      <c r="B43" s="6" t="s">
        <v>239</v>
      </c>
      <c r="C43" s="28">
        <f>MIN(1,SQRT(C41/C42))</f>
        <v>0.64490037058852168</v>
      </c>
      <c r="D43" s="1"/>
      <c r="E43" s="1"/>
      <c r="F43" s="1"/>
      <c r="G43" s="1"/>
      <c r="H43" s="1"/>
      <c r="I43" s="1"/>
      <c r="J43" s="1"/>
      <c r="K43" s="1"/>
    </row>
    <row r="44" spans="1:11" x14ac:dyDescent="0.3">
      <c r="A44" s="1"/>
      <c r="B44" s="6" t="s">
        <v>240</v>
      </c>
      <c r="C44" s="51">
        <f>INDEX(Plan_LR,2)</f>
        <v>0.7</v>
      </c>
      <c r="D44" s="1"/>
      <c r="E44" s="1"/>
      <c r="F44" s="1"/>
      <c r="G44" s="1"/>
      <c r="H44" s="1"/>
      <c r="I44" s="1"/>
      <c r="J44" s="1"/>
      <c r="K44" s="1"/>
    </row>
    <row r="45" spans="1:11" x14ac:dyDescent="0.3">
      <c r="A45" s="1"/>
      <c r="B45" s="6" t="s">
        <v>241</v>
      </c>
      <c r="C45" s="49">
        <f>C43*C40+(1-C43)*C44</f>
        <v>0.68165341274394631</v>
      </c>
      <c r="D45" s="1"/>
      <c r="E45" s="1"/>
      <c r="F45" s="1"/>
      <c r="G45" s="1"/>
      <c r="H45" s="1"/>
      <c r="I45" s="1"/>
      <c r="J45" s="1"/>
      <c r="K45" s="1"/>
    </row>
    <row r="46" spans="1:11" x14ac:dyDescent="0.3">
      <c r="A46" s="1"/>
      <c r="B46" s="6" t="s">
        <v>242</v>
      </c>
      <c r="C46" s="39" t="str">
        <f>IF(AND(C43&gt;=0,C43&lt;=1,C45&gt;=MIN(C40,C44)-0.0001,C45&lt;=MAX(C40,C44)+0.0001),"OK","REVIEW")</f>
        <v>OK</v>
      </c>
      <c r="D46" s="1"/>
      <c r="E46" s="1"/>
      <c r="F46" s="1"/>
      <c r="G46" s="1"/>
      <c r="H46" s="1"/>
      <c r="I46" s="1"/>
      <c r="J46" s="1"/>
      <c r="K46" s="1"/>
    </row>
    <row r="47" spans="1:11" x14ac:dyDescent="0.3">
      <c r="A47" s="1"/>
      <c r="B47" s="6" t="s">
        <v>243</v>
      </c>
      <c r="C47" s="39" t="str">
        <f>IF(ABS(E35-1)&lt;0.000001,"OK","REVIEW")</f>
        <v>OK</v>
      </c>
      <c r="D47" s="1"/>
      <c r="E47" s="1"/>
      <c r="F47" s="1"/>
      <c r="G47" s="1"/>
      <c r="H47" s="1"/>
      <c r="I47" s="1"/>
      <c r="J47" s="1"/>
      <c r="K47" s="1"/>
    </row>
    <row r="48" spans="1:11" x14ac:dyDescent="0.3">
      <c r="A48" s="1"/>
      <c r="B48" s="1"/>
      <c r="C48" s="1"/>
      <c r="D48" s="1"/>
      <c r="E48" s="1"/>
      <c r="F48" s="1"/>
      <c r="G48" s="1"/>
      <c r="H48" s="1"/>
      <c r="I48" s="1"/>
      <c r="J48" s="1"/>
      <c r="K48" s="1"/>
    </row>
    <row r="49" spans="1:11" x14ac:dyDescent="0.3">
      <c r="A49" s="1"/>
      <c r="B49" s="1"/>
      <c r="C49" s="1"/>
      <c r="D49" s="1"/>
      <c r="E49" s="1"/>
      <c r="F49" s="1"/>
      <c r="G49" s="1"/>
      <c r="H49" s="1"/>
      <c r="I49" s="1"/>
      <c r="J49" s="1"/>
      <c r="K49" s="1"/>
    </row>
    <row r="50" spans="1:11" x14ac:dyDescent="0.3">
      <c r="A50" s="1"/>
      <c r="B50" s="3" t="s">
        <v>70</v>
      </c>
      <c r="C50" s="1"/>
      <c r="D50" s="1"/>
      <c r="E50" s="1"/>
      <c r="F50" s="1"/>
      <c r="G50" s="1"/>
      <c r="H50" s="1"/>
      <c r="I50" s="1"/>
      <c r="J50" s="1"/>
      <c r="K50" s="1"/>
    </row>
    <row r="51" spans="1:11" ht="39.6" x14ac:dyDescent="0.3">
      <c r="A51" s="1"/>
      <c r="B51" s="13" t="s">
        <v>55</v>
      </c>
      <c r="C51" s="13" t="s">
        <v>223</v>
      </c>
      <c r="D51" s="13" t="s">
        <v>224</v>
      </c>
      <c r="E51" s="13" t="s">
        <v>225</v>
      </c>
      <c r="F51" s="13" t="s">
        <v>226</v>
      </c>
      <c r="G51" s="13" t="s">
        <v>227</v>
      </c>
      <c r="H51" s="13" t="s">
        <v>228</v>
      </c>
      <c r="I51" s="13" t="s">
        <v>229</v>
      </c>
      <c r="J51" s="13" t="s">
        <v>230</v>
      </c>
      <c r="K51" s="13" t="s">
        <v>231</v>
      </c>
    </row>
    <row r="52" spans="1:11" x14ac:dyDescent="0.3">
      <c r="A52" s="1"/>
      <c r="B52" s="46">
        <v>2020</v>
      </c>
      <c r="C52" s="29">
        <f>'Data Validation'!M67</f>
        <v>1.4999999999999999E-2</v>
      </c>
      <c r="D52" s="38">
        <f>1+C52</f>
        <v>1.0149999999999999</v>
      </c>
      <c r="E52" s="38">
        <f t="shared" ref="E52:E57" si="10">$D$57/D52</f>
        <v>1.2227499900000001</v>
      </c>
      <c r="F52" s="47">
        <f>'Raw Data'!E63</f>
        <v>1800</v>
      </c>
      <c r="G52" s="23">
        <f t="shared" ref="G52:G57" si="11">F52*E52</f>
        <v>2200.9499820000001</v>
      </c>
      <c r="H52" s="38">
        <f t="shared" ref="H52:H57" si="12">(1+Loss_trend)^($B$57-B52)</f>
        <v>1.3069600064093747</v>
      </c>
      <c r="I52" s="20">
        <f>'S1 Chain Ladder'!F33</f>
        <v>1300.2</v>
      </c>
      <c r="J52" s="23">
        <f t="shared" ref="J52:J57" si="13">I52*H52</f>
        <v>1699.3094003334691</v>
      </c>
      <c r="K52" s="21">
        <f t="shared" ref="K52:K57" si="14">IF(B52&lt;=$B$52+INDEX(Cred_mature,3)-1,1,0)</f>
        <v>1</v>
      </c>
    </row>
    <row r="53" spans="1:11" x14ac:dyDescent="0.3">
      <c r="A53" s="1"/>
      <c r="B53" s="46">
        <v>2021</v>
      </c>
      <c r="C53" s="29">
        <f>'Data Validation'!M68</f>
        <v>-0.03</v>
      </c>
      <c r="D53" s="38">
        <f>D52*(1+C53)</f>
        <v>0.98454999999999993</v>
      </c>
      <c r="E53" s="38">
        <f t="shared" si="10"/>
        <v>1.2605670000000002</v>
      </c>
      <c r="F53" s="47">
        <f>'Raw Data'!E64</f>
        <v>1900</v>
      </c>
      <c r="G53" s="23">
        <f t="shared" si="11"/>
        <v>2395.0773000000004</v>
      </c>
      <c r="H53" s="38">
        <f t="shared" si="12"/>
        <v>1.2388246506249998</v>
      </c>
      <c r="I53" s="20">
        <f>'S1 Chain Ladder'!F34</f>
        <v>1476.4432828608251</v>
      </c>
      <c r="J53" s="23">
        <f t="shared" si="13"/>
        <v>1829.0543340576894</v>
      </c>
      <c r="K53" s="21">
        <f t="shared" si="14"/>
        <v>1</v>
      </c>
    </row>
    <row r="54" spans="1:11" x14ac:dyDescent="0.3">
      <c r="A54" s="1"/>
      <c r="B54" s="46">
        <v>2022</v>
      </c>
      <c r="C54" s="29">
        <f>'Data Validation'!M69</f>
        <v>0.02</v>
      </c>
      <c r="D54" s="38">
        <f>D53*(1+C54)</f>
        <v>1.0042409999999999</v>
      </c>
      <c r="E54" s="38">
        <f t="shared" si="10"/>
        <v>1.2358500000000001</v>
      </c>
      <c r="F54" s="47">
        <f>'Raw Data'!E65</f>
        <v>2000</v>
      </c>
      <c r="G54" s="23">
        <f t="shared" si="11"/>
        <v>2471.7000000000003</v>
      </c>
      <c r="H54" s="38">
        <f t="shared" si="12"/>
        <v>1.1742413749999998</v>
      </c>
      <c r="I54" s="20">
        <f>'S1 Chain Ladder'!F35</f>
        <v>1788.71078207353</v>
      </c>
      <c r="J54" s="23">
        <f t="shared" si="13"/>
        <v>2100.378208219347</v>
      </c>
      <c r="K54" s="21">
        <f t="shared" si="14"/>
        <v>1</v>
      </c>
    </row>
    <row r="55" spans="1:11" x14ac:dyDescent="0.3">
      <c r="A55" s="1"/>
      <c r="B55" s="46">
        <v>2023</v>
      </c>
      <c r="C55" s="29">
        <f>'Data Validation'!M70</f>
        <v>7.0000000000000007E-2</v>
      </c>
      <c r="D55" s="38">
        <f>D54*(1+C55)</f>
        <v>1.0745378699999999</v>
      </c>
      <c r="E55" s="38">
        <f t="shared" si="10"/>
        <v>1.1550000000000002</v>
      </c>
      <c r="F55" s="47">
        <f>'Raw Data'!E66</f>
        <v>2150</v>
      </c>
      <c r="G55" s="23">
        <f t="shared" si="11"/>
        <v>2483.2500000000005</v>
      </c>
      <c r="H55" s="38">
        <f t="shared" si="12"/>
        <v>1.1130249999999999</v>
      </c>
      <c r="I55" s="20">
        <f>'S1 Chain Ladder'!F36</f>
        <v>1727.4113983854882</v>
      </c>
      <c r="J55" s="23">
        <f t="shared" si="13"/>
        <v>1922.6520716880079</v>
      </c>
      <c r="K55" s="21">
        <f t="shared" si="14"/>
        <v>0</v>
      </c>
    </row>
    <row r="56" spans="1:11" x14ac:dyDescent="0.3">
      <c r="A56" s="1"/>
      <c r="B56" s="46">
        <v>2024</v>
      </c>
      <c r="C56" s="29">
        <f>'Data Validation'!M71</f>
        <v>0.1</v>
      </c>
      <c r="D56" s="38">
        <f>D55*(1+C56)</f>
        <v>1.181991657</v>
      </c>
      <c r="E56" s="38">
        <f t="shared" si="10"/>
        <v>1.05</v>
      </c>
      <c r="F56" s="47">
        <f>'Raw Data'!E67</f>
        <v>2400</v>
      </c>
      <c r="G56" s="23">
        <f t="shared" si="11"/>
        <v>2520</v>
      </c>
      <c r="H56" s="38">
        <f t="shared" si="12"/>
        <v>1.0549999999999999</v>
      </c>
      <c r="I56" s="20">
        <f>'S1 Chain Ladder'!F37</f>
        <v>1822.6224849468213</v>
      </c>
      <c r="J56" s="23">
        <f t="shared" si="13"/>
        <v>1922.8667216188962</v>
      </c>
      <c r="K56" s="21">
        <f t="shared" si="14"/>
        <v>0</v>
      </c>
    </row>
    <row r="57" spans="1:11" x14ac:dyDescent="0.3">
      <c r="A57" s="1"/>
      <c r="B57" s="46">
        <v>2025</v>
      </c>
      <c r="C57" s="29">
        <f>'Data Validation'!M72</f>
        <v>0.05</v>
      </c>
      <c r="D57" s="38">
        <f>D56*(1+C57)</f>
        <v>1.24109123985</v>
      </c>
      <c r="E57" s="38">
        <f t="shared" si="10"/>
        <v>1</v>
      </c>
      <c r="F57" s="47">
        <f>'Raw Data'!E68</f>
        <v>2650</v>
      </c>
      <c r="G57" s="23">
        <f t="shared" si="11"/>
        <v>2650</v>
      </c>
      <c r="H57" s="38">
        <f t="shared" si="12"/>
        <v>1</v>
      </c>
      <c r="I57" s="20">
        <f>'S1 Chain Ladder'!F38</f>
        <v>1804.5310770610022</v>
      </c>
      <c r="J57" s="23">
        <f t="shared" si="13"/>
        <v>1804.5310770610022</v>
      </c>
      <c r="K57" s="21">
        <f t="shared" si="14"/>
        <v>0</v>
      </c>
    </row>
    <row r="58" spans="1:11" x14ac:dyDescent="0.3">
      <c r="A58" s="1"/>
      <c r="B58" s="5" t="s">
        <v>232</v>
      </c>
      <c r="C58" s="1"/>
      <c r="D58" s="1"/>
      <c r="E58" s="1"/>
      <c r="F58" s="1"/>
      <c r="G58" s="1"/>
      <c r="H58" s="1"/>
      <c r="I58" s="1"/>
      <c r="J58" s="1"/>
      <c r="K58" s="1"/>
    </row>
    <row r="59" spans="1:11" x14ac:dyDescent="0.3">
      <c r="A59" s="1"/>
      <c r="B59" s="6" t="s">
        <v>233</v>
      </c>
      <c r="C59" s="48">
        <f>SUM(K52:K57)</f>
        <v>3</v>
      </c>
      <c r="D59" s="1"/>
      <c r="E59" s="1"/>
      <c r="F59" s="1"/>
      <c r="G59" s="1"/>
      <c r="H59" s="1"/>
      <c r="I59" s="1"/>
      <c r="J59" s="1"/>
      <c r="K59" s="1"/>
    </row>
    <row r="60" spans="1:11" x14ac:dyDescent="0.3">
      <c r="A60" s="1"/>
      <c r="B60" s="6" t="s">
        <v>234</v>
      </c>
      <c r="C60" s="23">
        <f>SUMPRODUCT($K$52:$K$57,$J$52:$J$57)</f>
        <v>5628.7419426105062</v>
      </c>
      <c r="D60" s="1"/>
      <c r="E60" s="1"/>
      <c r="F60" s="1"/>
      <c r="G60" s="1"/>
      <c r="H60" s="1"/>
      <c r="I60" s="1"/>
      <c r="J60" s="1"/>
      <c r="K60" s="1"/>
    </row>
    <row r="61" spans="1:11" x14ac:dyDescent="0.3">
      <c r="A61" s="1"/>
      <c r="B61" s="6" t="s">
        <v>235</v>
      </c>
      <c r="C61" s="23">
        <f>SUMPRODUCT($K$52:$K$57,$G$52:$G$57)</f>
        <v>7067.7272820000017</v>
      </c>
      <c r="D61" s="1"/>
      <c r="E61" s="1"/>
      <c r="F61" s="1"/>
      <c r="G61" s="1"/>
      <c r="H61" s="1"/>
      <c r="I61" s="1"/>
      <c r="J61" s="1"/>
      <c r="K61" s="1"/>
    </row>
    <row r="62" spans="1:11" x14ac:dyDescent="0.3">
      <c r="A62" s="1"/>
      <c r="B62" s="6" t="s">
        <v>236</v>
      </c>
      <c r="C62" s="49">
        <f>C60/C61</f>
        <v>0.79640055678799537</v>
      </c>
      <c r="D62" s="1"/>
      <c r="E62" s="1"/>
      <c r="F62" s="1"/>
      <c r="G62" s="1"/>
      <c r="H62" s="1"/>
      <c r="I62" s="1"/>
      <c r="J62" s="1"/>
      <c r="K62" s="1"/>
    </row>
    <row r="63" spans="1:11" x14ac:dyDescent="0.3">
      <c r="A63" s="1"/>
      <c r="B63" s="6" t="s">
        <v>237</v>
      </c>
      <c r="C63" s="50">
        <f>SUMPRODUCT($K$52:$K$57,'Raw Data'!E41:E46)</f>
        <v>192</v>
      </c>
      <c r="D63" s="1"/>
      <c r="E63" s="1"/>
      <c r="F63" s="1"/>
      <c r="G63" s="1"/>
      <c r="H63" s="1"/>
      <c r="I63" s="1"/>
      <c r="J63" s="1"/>
      <c r="K63" s="1"/>
    </row>
    <row r="64" spans="1:11" x14ac:dyDescent="0.3">
      <c r="A64" s="1"/>
      <c r="B64" s="6" t="s">
        <v>238</v>
      </c>
      <c r="C64" s="50">
        <f>INDEX(Cred_full,3)</f>
        <v>1082</v>
      </c>
      <c r="D64" s="1"/>
      <c r="E64" s="1"/>
      <c r="F64" s="1"/>
      <c r="G64" s="1"/>
      <c r="H64" s="1"/>
      <c r="I64" s="1"/>
      <c r="J64" s="1"/>
      <c r="K64" s="1"/>
    </row>
    <row r="65" spans="1:11" x14ac:dyDescent="0.3">
      <c r="A65" s="1"/>
      <c r="B65" s="6" t="s">
        <v>239</v>
      </c>
      <c r="C65" s="28">
        <f>MIN(1,SQRT(C63/C64))</f>
        <v>0.42124715809964108</v>
      </c>
      <c r="D65" s="1"/>
      <c r="E65" s="1"/>
      <c r="F65" s="1"/>
      <c r="G65" s="1"/>
      <c r="H65" s="1"/>
      <c r="I65" s="1"/>
      <c r="J65" s="1"/>
      <c r="K65" s="1"/>
    </row>
    <row r="66" spans="1:11" x14ac:dyDescent="0.3">
      <c r="A66" s="1"/>
      <c r="B66" s="6" t="s">
        <v>240</v>
      </c>
      <c r="C66" s="51">
        <f>INDEX(Plan_LR,3)</f>
        <v>0.76</v>
      </c>
      <c r="D66" s="1"/>
      <c r="E66" s="1"/>
      <c r="F66" s="1"/>
      <c r="G66" s="1"/>
      <c r="H66" s="1"/>
      <c r="I66" s="1"/>
      <c r="J66" s="1"/>
      <c r="K66" s="1"/>
    </row>
    <row r="67" spans="1:11" x14ac:dyDescent="0.3">
      <c r="A67" s="1"/>
      <c r="B67" s="6" t="s">
        <v>241</v>
      </c>
      <c r="C67" s="49">
        <f>C65*C62+(1-C65)*C66</f>
        <v>0.77533363110018771</v>
      </c>
      <c r="D67" s="1"/>
      <c r="E67" s="1"/>
      <c r="F67" s="1"/>
      <c r="G67" s="1"/>
      <c r="H67" s="1"/>
      <c r="I67" s="1"/>
      <c r="J67" s="1"/>
      <c r="K67" s="1"/>
    </row>
    <row r="68" spans="1:11" x14ac:dyDescent="0.3">
      <c r="A68" s="1"/>
      <c r="B68" s="6" t="s">
        <v>242</v>
      </c>
      <c r="C68" s="39" t="str">
        <f>IF(AND(C65&gt;=0,C65&lt;=1,C67&gt;=MIN(C62,C66)-0.0001,C67&lt;=MAX(C62,C66)+0.0001),"OK","REVIEW")</f>
        <v>OK</v>
      </c>
      <c r="D68" s="1"/>
      <c r="E68" s="1"/>
      <c r="F68" s="1"/>
      <c r="G68" s="1"/>
      <c r="H68" s="1"/>
      <c r="I68" s="1"/>
      <c r="J68" s="1"/>
      <c r="K68" s="1"/>
    </row>
    <row r="69" spans="1:11" x14ac:dyDescent="0.3">
      <c r="A69" s="1"/>
      <c r="B69" s="6" t="s">
        <v>243</v>
      </c>
      <c r="C69" s="39" t="str">
        <f>IF(ABS(E57-1)&lt;0.000001,"OK","REVIEW")</f>
        <v>OK</v>
      </c>
      <c r="D69" s="1"/>
      <c r="E69" s="1"/>
      <c r="F69" s="1"/>
      <c r="G69" s="1"/>
      <c r="H69" s="1"/>
      <c r="I69" s="1"/>
      <c r="J69" s="1"/>
      <c r="K69" s="1"/>
    </row>
  </sheetData>
  <pageMargins left="0.75" right="0.75" top="1" bottom="1" header="0.511811023622047" footer="0.511811023622047"/>
  <pageSetup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pageSetUpPr fitToPage="1"/>
  </sheetPr>
  <dimension ref="A1:H47"/>
  <sheetViews>
    <sheetView showGridLines="0" zoomScaleNormal="100" workbookViewId="0">
      <pane xSplit="2" ySplit="3" topLeftCell="F4" activePane="bottomRight" state="frozen"/>
      <selection pane="topRight" activeCell="C1" sqref="C1"/>
      <selection pane="bottomLeft" activeCell="A4" sqref="A4"/>
      <selection pane="bottomRight"/>
    </sheetView>
  </sheetViews>
  <sheetFormatPr defaultColWidth="8.6640625" defaultRowHeight="14.4" x14ac:dyDescent="0.3"/>
  <cols>
    <col min="1" max="1" width="2" customWidth="1"/>
    <col min="2" max="2" width="13" customWidth="1"/>
    <col min="3" max="3" width="15" customWidth="1"/>
    <col min="4" max="4" width="12" customWidth="1"/>
    <col min="5" max="5" width="14" customWidth="1"/>
    <col min="6" max="6" width="16" customWidth="1"/>
    <col min="7" max="7" width="15" customWidth="1"/>
    <col min="8" max="8" width="14" customWidth="1"/>
    <col min="9" max="9" width="3" customWidth="1"/>
    <col min="10" max="10" width="56" customWidth="1"/>
  </cols>
  <sheetData>
    <row r="1" spans="1:8" ht="17.399999999999999" x14ac:dyDescent="0.3">
      <c r="A1" s="1"/>
      <c r="B1" s="2" t="s">
        <v>244</v>
      </c>
      <c r="C1" s="1"/>
      <c r="D1" s="1"/>
      <c r="E1" s="1"/>
      <c r="F1" s="1"/>
      <c r="G1" s="1"/>
      <c r="H1" s="1"/>
    </row>
    <row r="2" spans="1:8" x14ac:dyDescent="0.3">
      <c r="A2" s="1"/>
      <c r="B2" s="4" t="s">
        <v>245</v>
      </c>
      <c r="C2" s="1"/>
      <c r="D2" s="1"/>
      <c r="E2" s="1"/>
      <c r="F2" s="1"/>
      <c r="G2" s="1"/>
      <c r="H2" s="1"/>
    </row>
    <row r="3" spans="1:8" x14ac:dyDescent="0.3">
      <c r="A3" s="1"/>
      <c r="B3" s="4" t="s">
        <v>246</v>
      </c>
      <c r="C3" s="1"/>
      <c r="D3" s="1"/>
      <c r="E3" s="1"/>
      <c r="F3" s="1"/>
      <c r="G3" s="1"/>
      <c r="H3" s="1"/>
    </row>
    <row r="4" spans="1:8" x14ac:dyDescent="0.3">
      <c r="A4" s="1"/>
      <c r="B4" s="1"/>
      <c r="C4" s="1"/>
      <c r="D4" s="1"/>
      <c r="E4" s="1"/>
      <c r="F4" s="1"/>
      <c r="G4" s="1"/>
      <c r="H4" s="1"/>
    </row>
    <row r="5" spans="1:8" x14ac:dyDescent="0.3">
      <c r="A5" s="1"/>
      <c r="B5" s="1"/>
      <c r="C5" s="1"/>
      <c r="D5" s="1"/>
      <c r="E5" s="1"/>
      <c r="F5" s="1"/>
      <c r="G5" s="1"/>
      <c r="H5" s="1"/>
    </row>
    <row r="6" spans="1:8" x14ac:dyDescent="0.3">
      <c r="A6" s="1"/>
      <c r="B6" s="3" t="s">
        <v>54</v>
      </c>
      <c r="C6" s="1"/>
      <c r="D6" s="1"/>
      <c r="E6" s="1"/>
      <c r="F6" s="1"/>
      <c r="G6" s="1"/>
      <c r="H6" s="1"/>
    </row>
    <row r="7" spans="1:8" ht="26.4" x14ac:dyDescent="0.3">
      <c r="A7" s="1"/>
      <c r="B7" s="13" t="s">
        <v>55</v>
      </c>
      <c r="C7" s="13" t="s">
        <v>227</v>
      </c>
      <c r="D7" s="13" t="s">
        <v>228</v>
      </c>
      <c r="E7" s="13" t="s">
        <v>247</v>
      </c>
      <c r="F7" s="13" t="s">
        <v>215</v>
      </c>
      <c r="G7" s="13" t="s">
        <v>213</v>
      </c>
      <c r="H7" s="13" t="s">
        <v>248</v>
      </c>
    </row>
    <row r="8" spans="1:8" x14ac:dyDescent="0.3">
      <c r="A8" s="1"/>
      <c r="B8" s="46">
        <v>2020</v>
      </c>
      <c r="C8" s="20">
        <f>'On-Level &amp; Cred'!G8</f>
        <v>4904.6516619187487</v>
      </c>
      <c r="D8" s="41">
        <f>'On-Level &amp; Cred'!H8</f>
        <v>1.3069600064093747</v>
      </c>
      <c r="E8" s="52">
        <f>'On-Level &amp; Cred'!$C$23*'On-Level &amp; Cred'!E8/D8</f>
        <v>0.57137985747731646</v>
      </c>
      <c r="F8" s="42">
        <f>C8*'On-Level &amp; Cred'!$C$23/D8</f>
        <v>2399.7954014047291</v>
      </c>
      <c r="G8" s="20">
        <f>'S1 Chain Ladder'!D7</f>
        <v>2432.5</v>
      </c>
      <c r="H8" s="23">
        <f t="shared" ref="H8:H13" si="0">F8-G8</f>
        <v>-32.704598595270909</v>
      </c>
    </row>
    <row r="9" spans="1:8" x14ac:dyDescent="0.3">
      <c r="A9" s="1"/>
      <c r="B9" s="46">
        <v>2021</v>
      </c>
      <c r="C9" s="20">
        <f>'On-Level &amp; Cred'!G9</f>
        <v>5275.7311809374987</v>
      </c>
      <c r="D9" s="41">
        <f>'On-Level &amp; Cred'!H9</f>
        <v>1.2388246506249998</v>
      </c>
      <c r="E9" s="52">
        <f>'On-Level &amp; Cred'!$C$23*'On-Level &amp; Cred'!E9/D9</f>
        <v>0.6119855326279886</v>
      </c>
      <c r="F9" s="42">
        <f>C9*'On-Level &amp; Cred'!$C$23/D9</f>
        <v>2723.3356201945494</v>
      </c>
      <c r="G9" s="20">
        <f>'S1 Chain Ladder'!D8</f>
        <v>2437.6999999999998</v>
      </c>
      <c r="H9" s="23">
        <f t="shared" si="0"/>
        <v>285.63562019454957</v>
      </c>
    </row>
    <row r="10" spans="1:8" x14ac:dyDescent="0.3">
      <c r="A10" s="1"/>
      <c r="B10" s="46">
        <v>2022</v>
      </c>
      <c r="C10" s="20">
        <f>'On-Level &amp; Cred'!G10</f>
        <v>5399.5691249999991</v>
      </c>
      <c r="D10" s="41">
        <f>'On-Level &amp; Cred'!H10</f>
        <v>1.1742413749999998</v>
      </c>
      <c r="E10" s="52">
        <f>'On-Level &amp; Cred'!$C$23*'On-Level &amp; Cred'!E10/D10</f>
        <v>0.63925221477478034</v>
      </c>
      <c r="F10" s="42">
        <f>C10*'On-Level &amp; Cred'!$C$23/D10</f>
        <v>2940.5601879639889</v>
      </c>
      <c r="G10" s="20">
        <f>'S1 Chain Ladder'!D9</f>
        <v>2898.3298867294616</v>
      </c>
      <c r="H10" s="23">
        <f t="shared" si="0"/>
        <v>42.23030123452736</v>
      </c>
    </row>
    <row r="11" spans="1:8" x14ac:dyDescent="0.3">
      <c r="A11" s="1"/>
      <c r="B11" s="46">
        <v>2023</v>
      </c>
      <c r="C11" s="20">
        <f>'On-Level &amp; Cred'!G11</f>
        <v>5451.8625000000002</v>
      </c>
      <c r="D11" s="41">
        <f>'On-Level &amp; Cred'!H11</f>
        <v>1.1130249999999999</v>
      </c>
      <c r="E11" s="52">
        <f>'On-Level &amp; Cred'!$C$23*'On-Level &amp; Cred'!E11/D11</f>
        <v>0.63925221477478034</v>
      </c>
      <c r="F11" s="42">
        <f>C11*'On-Level &amp; Cred'!$C$23/D11</f>
        <v>3132.3358523964234</v>
      </c>
      <c r="G11" s="20">
        <f>'S1 Chain Ladder'!D10</f>
        <v>2705.1</v>
      </c>
      <c r="H11" s="23">
        <f t="shared" si="0"/>
        <v>427.23585239642352</v>
      </c>
    </row>
    <row r="12" spans="1:8" x14ac:dyDescent="0.3">
      <c r="A12" s="1"/>
      <c r="B12" s="46">
        <v>2024</v>
      </c>
      <c r="C12" s="20">
        <f>'On-Level &amp; Cred'!G12</f>
        <v>5537.25</v>
      </c>
      <c r="D12" s="41">
        <f>'On-Level &amp; Cred'!H12</f>
        <v>1.0549999999999999</v>
      </c>
      <c r="E12" s="52">
        <f>'On-Level &amp; Cred'!$C$23*'On-Level &amp; Cred'!E12/D12</f>
        <v>0.62735915031385403</v>
      </c>
      <c r="F12" s="42">
        <f>C12*'On-Level &amp; Cred'!$C$23/D12</f>
        <v>3356.3714541791196</v>
      </c>
      <c r="G12" s="20">
        <f>'S1 Chain Ladder'!D11</f>
        <v>2305.4</v>
      </c>
      <c r="H12" s="23">
        <f t="shared" si="0"/>
        <v>1050.9714541791195</v>
      </c>
    </row>
    <row r="13" spans="1:8" x14ac:dyDescent="0.3">
      <c r="A13" s="1"/>
      <c r="B13" s="46">
        <v>2025</v>
      </c>
      <c r="C13" s="20">
        <f>'On-Level &amp; Cred'!G13</f>
        <v>5700</v>
      </c>
      <c r="D13" s="41">
        <f>'On-Level &amp; Cred'!H13</f>
        <v>1</v>
      </c>
      <c r="E13" s="52">
        <f>'On-Level &amp; Cred'!$C$23*'On-Level &amp; Cred'!E13/D13</f>
        <v>0.63948203244552282</v>
      </c>
      <c r="F13" s="42">
        <f>C13*'On-Level &amp; Cred'!$C$23/D13</f>
        <v>3645.0475849394802</v>
      </c>
      <c r="G13" s="20">
        <f>'S1 Chain Ladder'!D12</f>
        <v>1525.9</v>
      </c>
      <c r="H13" s="23">
        <f t="shared" si="0"/>
        <v>2119.1475849394801</v>
      </c>
    </row>
    <row r="14" spans="1:8" x14ac:dyDescent="0.3">
      <c r="A14" s="1"/>
      <c r="B14" s="43" t="s">
        <v>218</v>
      </c>
      <c r="C14" s="1"/>
      <c r="D14" s="1"/>
      <c r="E14" s="1"/>
      <c r="F14" s="42">
        <f>SUM(F8:F13)</f>
        <v>18197.446101078291</v>
      </c>
      <c r="G14" s="42">
        <f>SUM(G8:G13)</f>
        <v>14304.92988672946</v>
      </c>
      <c r="H14" s="42">
        <f>SUM(H8:H13)</f>
        <v>3892.5162143488292</v>
      </c>
    </row>
    <row r="15" spans="1:8" x14ac:dyDescent="0.3">
      <c r="A15" s="1"/>
      <c r="B15" s="6" t="s">
        <v>249</v>
      </c>
      <c r="C15" s="1"/>
      <c r="D15" s="1"/>
      <c r="E15" s="1"/>
      <c r="F15" s="39" t="str">
        <f>IF(SUMPRODUCT(--(H8:H13&lt;0))=0,"OK","SEE NOTE")</f>
        <v>SEE NOTE</v>
      </c>
      <c r="G15" s="1"/>
      <c r="H15" s="1"/>
    </row>
    <row r="16" spans="1:8" x14ac:dyDescent="0.3">
      <c r="A16" s="1"/>
      <c r="B16" s="4" t="s">
        <v>250</v>
      </c>
      <c r="C16" s="1"/>
      <c r="D16" s="1"/>
      <c r="E16" s="1"/>
      <c r="F16" s="1"/>
      <c r="G16" s="1"/>
      <c r="H16" s="1"/>
    </row>
    <row r="17" spans="1:8" x14ac:dyDescent="0.3">
      <c r="A17" s="1"/>
      <c r="B17" s="1"/>
      <c r="C17" s="1"/>
      <c r="D17" s="1"/>
      <c r="E17" s="1"/>
      <c r="F17" s="1"/>
      <c r="G17" s="1"/>
      <c r="H17" s="1"/>
    </row>
    <row r="18" spans="1:8" x14ac:dyDescent="0.3">
      <c r="A18" s="1"/>
      <c r="B18" s="1"/>
      <c r="C18" s="1"/>
      <c r="D18" s="1"/>
      <c r="E18" s="1"/>
      <c r="F18" s="1"/>
      <c r="G18" s="1"/>
      <c r="H18" s="1"/>
    </row>
    <row r="19" spans="1:8" x14ac:dyDescent="0.3">
      <c r="A19" s="1"/>
      <c r="B19" s="3" t="s">
        <v>69</v>
      </c>
      <c r="C19" s="1"/>
      <c r="D19" s="1"/>
      <c r="E19" s="1"/>
      <c r="F19" s="1"/>
      <c r="G19" s="1"/>
      <c r="H19" s="1"/>
    </row>
    <row r="20" spans="1:8" ht="26.4" x14ac:dyDescent="0.3">
      <c r="A20" s="1"/>
      <c r="B20" s="13" t="s">
        <v>55</v>
      </c>
      <c r="C20" s="13" t="s">
        <v>227</v>
      </c>
      <c r="D20" s="13" t="s">
        <v>228</v>
      </c>
      <c r="E20" s="13" t="s">
        <v>247</v>
      </c>
      <c r="F20" s="13" t="s">
        <v>215</v>
      </c>
      <c r="G20" s="13" t="s">
        <v>213</v>
      </c>
      <c r="H20" s="13" t="s">
        <v>248</v>
      </c>
    </row>
    <row r="21" spans="1:8" x14ac:dyDescent="0.3">
      <c r="A21" s="1"/>
      <c r="B21" s="46">
        <v>2020</v>
      </c>
      <c r="C21" s="20">
        <f>'On-Level &amp; Cred'!G30</f>
        <v>3684.8920318031251</v>
      </c>
      <c r="D21" s="41">
        <f>'On-Level &amp; Cred'!H30</f>
        <v>1.3069600064093747</v>
      </c>
      <c r="E21" s="52">
        <f>'On-Level &amp; Cred'!$C$45*'On-Level &amp; Cred'!E30/D21</f>
        <v>0.6199610267099841</v>
      </c>
      <c r="F21" s="42">
        <f>C21*'On-Level &amp; Cred'!$C$45/D21</f>
        <v>1921.879182800951</v>
      </c>
      <c r="G21" s="20">
        <f>'S1 Chain Ladder'!D20</f>
        <v>1851.3</v>
      </c>
      <c r="H21" s="23">
        <f t="shared" ref="H21:H26" si="1">F21-G21</f>
        <v>70.579182800951003</v>
      </c>
    </row>
    <row r="22" spans="1:8" x14ac:dyDescent="0.3">
      <c r="A22" s="1"/>
      <c r="B22" s="46">
        <v>2021</v>
      </c>
      <c r="C22" s="20">
        <f>'On-Level &amp; Cred'!G31</f>
        <v>3962.2494965624996</v>
      </c>
      <c r="D22" s="41">
        <f>'On-Level &amp; Cred'!H31</f>
        <v>1.2388246506249998</v>
      </c>
      <c r="E22" s="52">
        <f>'On-Level &amp; Cred'!$C$45*'On-Level &amp; Cred'!E31/D22</f>
        <v>0.6708296237733673</v>
      </c>
      <c r="F22" s="42">
        <f>C22*'On-Level &amp; Cred'!$C$45/D22</f>
        <v>2180.1962772634438</v>
      </c>
      <c r="G22" s="20">
        <f>'S1 Chain Ladder'!D21</f>
        <v>2106.4</v>
      </c>
      <c r="H22" s="23">
        <f t="shared" si="1"/>
        <v>73.796277263443699</v>
      </c>
    </row>
    <row r="23" spans="1:8" x14ac:dyDescent="0.3">
      <c r="A23" s="1"/>
      <c r="B23" s="46">
        <v>2022</v>
      </c>
      <c r="C23" s="20">
        <f>'On-Level &amp; Cred'!G32</f>
        <v>4003.1912249999991</v>
      </c>
      <c r="D23" s="41">
        <f>'On-Level &amp; Cred'!H32</f>
        <v>1.1742413749999998</v>
      </c>
      <c r="E23" s="52">
        <f>'On-Level &amp; Cred'!$C$45*'On-Level &amp; Cred'!E32/D23</f>
        <v>0.704204231921296</v>
      </c>
      <c r="F23" s="42">
        <f>C23*'On-Level &amp; Cred'!$C$45/D23</f>
        <v>2323.8739653402768</v>
      </c>
      <c r="G23" s="20">
        <f>'S1 Chain Ladder'!D22</f>
        <v>2119.6</v>
      </c>
      <c r="H23" s="23">
        <f t="shared" si="1"/>
        <v>204.27396534027685</v>
      </c>
    </row>
    <row r="24" spans="1:8" x14ac:dyDescent="0.3">
      <c r="A24" s="1"/>
      <c r="B24" s="46">
        <v>2023</v>
      </c>
      <c r="C24" s="20">
        <f>'On-Level &amp; Cred'!G33</f>
        <v>3986.6749999999997</v>
      </c>
      <c r="D24" s="41">
        <f>'On-Level &amp; Cred'!H33</f>
        <v>1.1130249999999999</v>
      </c>
      <c r="E24" s="52">
        <f>'On-Level &amp; Cred'!$C$45*'On-Level &amp; Cred'!E33/D24</f>
        <v>0.69759198561217584</v>
      </c>
      <c r="F24" s="42">
        <f>C24*'On-Level &amp; Cred'!$C$45/D24</f>
        <v>2441.5719496426154</v>
      </c>
      <c r="G24" s="20">
        <f>'S1 Chain Ladder'!D23</f>
        <v>1982.1</v>
      </c>
      <c r="H24" s="23">
        <f t="shared" si="1"/>
        <v>459.47194964261553</v>
      </c>
    </row>
    <row r="25" spans="1:8" x14ac:dyDescent="0.3">
      <c r="A25" s="1"/>
      <c r="B25" s="46">
        <v>2024</v>
      </c>
      <c r="C25" s="20">
        <f>'On-Level &amp; Cred'!G34</f>
        <v>4023.2499999999995</v>
      </c>
      <c r="D25" s="41">
        <f>'On-Level &amp; Cred'!H34</f>
        <v>1.0549999999999999</v>
      </c>
      <c r="E25" s="52">
        <f>'On-Level &amp; Cred'!$C$45*'On-Level &amp; Cred'!E34/D25</f>
        <v>0.6751922429549041</v>
      </c>
      <c r="F25" s="42">
        <f>C25*'On-Level &amp; Cred'!$C$45/D25</f>
        <v>2599.4901353763807</v>
      </c>
      <c r="G25" s="20">
        <f>'S1 Chain Ladder'!D24</f>
        <v>1694.4</v>
      </c>
      <c r="H25" s="23">
        <f t="shared" si="1"/>
        <v>905.09013537638066</v>
      </c>
    </row>
    <row r="26" spans="1:8" x14ac:dyDescent="0.3">
      <c r="A26" s="1"/>
      <c r="B26" s="46">
        <v>2025</v>
      </c>
      <c r="C26" s="20">
        <f>'On-Level &amp; Cred'!G35</f>
        <v>4150</v>
      </c>
      <c r="D26" s="41">
        <f>'On-Level &amp; Cred'!H35</f>
        <v>1</v>
      </c>
      <c r="E26" s="52">
        <f>'On-Level &amp; Cred'!$C$45*'On-Level &amp; Cred'!E35/D26</f>
        <v>0.68165341274394631</v>
      </c>
      <c r="F26" s="42">
        <f>C26*'On-Level &amp; Cred'!$C$45/D26</f>
        <v>2828.861662887377</v>
      </c>
      <c r="G26" s="20">
        <f>'S1 Chain Ladder'!D25</f>
        <v>907</v>
      </c>
      <c r="H26" s="23">
        <f t="shared" si="1"/>
        <v>1921.861662887377</v>
      </c>
    </row>
    <row r="27" spans="1:8" x14ac:dyDescent="0.3">
      <c r="A27" s="1"/>
      <c r="B27" s="43" t="s">
        <v>218</v>
      </c>
      <c r="C27" s="1"/>
      <c r="D27" s="1"/>
      <c r="E27" s="1"/>
      <c r="F27" s="42">
        <f>SUM(F21:F26)</f>
        <v>14295.873173311045</v>
      </c>
      <c r="G27" s="42">
        <f>SUM(G21:G26)</f>
        <v>10660.8</v>
      </c>
      <c r="H27" s="42">
        <f>SUM(H21:H26)</f>
        <v>3635.0731733110447</v>
      </c>
    </row>
    <row r="28" spans="1:8" x14ac:dyDescent="0.3">
      <c r="A28" s="1"/>
      <c r="B28" s="6" t="s">
        <v>249</v>
      </c>
      <c r="C28" s="1"/>
      <c r="D28" s="1"/>
      <c r="E28" s="1"/>
      <c r="F28" s="39" t="str">
        <f>IF(SUMPRODUCT(--(H21:H26&lt;0))=0,"OK","SEE NOTE")</f>
        <v>OK</v>
      </c>
      <c r="G28" s="1"/>
      <c r="H28" s="1"/>
    </row>
    <row r="29" spans="1:8" x14ac:dyDescent="0.3">
      <c r="A29" s="1"/>
      <c r="B29" s="4" t="s">
        <v>250</v>
      </c>
      <c r="C29" s="1"/>
      <c r="D29" s="1"/>
      <c r="E29" s="1"/>
      <c r="F29" s="1"/>
      <c r="G29" s="1"/>
      <c r="H29" s="1"/>
    </row>
    <row r="30" spans="1:8" x14ac:dyDescent="0.3">
      <c r="A30" s="1"/>
      <c r="B30" s="1"/>
      <c r="C30" s="1"/>
      <c r="D30" s="1"/>
      <c r="E30" s="1"/>
      <c r="F30" s="1"/>
      <c r="G30" s="1"/>
      <c r="H30" s="1"/>
    </row>
    <row r="31" spans="1:8" x14ac:dyDescent="0.3">
      <c r="A31" s="1"/>
      <c r="B31" s="1"/>
      <c r="C31" s="1"/>
      <c r="D31" s="1"/>
      <c r="E31" s="1"/>
      <c r="F31" s="1"/>
      <c r="G31" s="1"/>
      <c r="H31" s="1"/>
    </row>
    <row r="32" spans="1:8" x14ac:dyDescent="0.3">
      <c r="A32" s="1"/>
      <c r="B32" s="3" t="s">
        <v>70</v>
      </c>
      <c r="C32" s="1"/>
      <c r="D32" s="1"/>
      <c r="E32" s="1"/>
      <c r="F32" s="1"/>
      <c r="G32" s="1"/>
      <c r="H32" s="1"/>
    </row>
    <row r="33" spans="1:8" ht="26.4" x14ac:dyDescent="0.3">
      <c r="A33" s="1"/>
      <c r="B33" s="13" t="s">
        <v>55</v>
      </c>
      <c r="C33" s="13" t="s">
        <v>227</v>
      </c>
      <c r="D33" s="13" t="s">
        <v>228</v>
      </c>
      <c r="E33" s="13" t="s">
        <v>247</v>
      </c>
      <c r="F33" s="13" t="s">
        <v>215</v>
      </c>
      <c r="G33" s="13" t="s">
        <v>213</v>
      </c>
      <c r="H33" s="13" t="s">
        <v>248</v>
      </c>
    </row>
    <row r="34" spans="1:8" x14ac:dyDescent="0.3">
      <c r="A34" s="1"/>
      <c r="B34" s="46">
        <v>2020</v>
      </c>
      <c r="C34" s="20">
        <f>'On-Level &amp; Cred'!G52</f>
        <v>2200.9499820000001</v>
      </c>
      <c r="D34" s="41">
        <f>'On-Level &amp; Cred'!H52</f>
        <v>1.3069600064093747</v>
      </c>
      <c r="E34" s="52">
        <f>'On-Level &amp; Cred'!$C$67*'On-Level &amp; Cred'!E52/D34</f>
        <v>0.72537735280743332</v>
      </c>
      <c r="F34" s="42">
        <f>C34*'On-Level &amp; Cred'!$C$67/D34</f>
        <v>1305.6792350533799</v>
      </c>
      <c r="G34" s="20">
        <f>'S1 Chain Ladder'!D33</f>
        <v>1300.2</v>
      </c>
      <c r="H34" s="23">
        <f t="shared" ref="H34:H39" si="2">F34-G34</f>
        <v>5.4792350533798526</v>
      </c>
    </row>
    <row r="35" spans="1:8" x14ac:dyDescent="0.3">
      <c r="A35" s="1"/>
      <c r="B35" s="46">
        <v>2021</v>
      </c>
      <c r="C35" s="20">
        <f>'On-Level &amp; Cred'!G53</f>
        <v>2395.0773000000004</v>
      </c>
      <c r="D35" s="41">
        <f>'On-Level &amp; Cred'!H53</f>
        <v>1.2388246506249998</v>
      </c>
      <c r="E35" s="52">
        <f>'On-Level &amp; Cred'!$C$67*'On-Level &amp; Cred'!E53/D35</f>
        <v>0.78894134764107438</v>
      </c>
      <c r="F35" s="42">
        <f>C35*'On-Level &amp; Cred'!$C$67/D35</f>
        <v>1498.9885605180414</v>
      </c>
      <c r="G35" s="20">
        <f>'S1 Chain Ladder'!D34</f>
        <v>1409.9</v>
      </c>
      <c r="H35" s="23">
        <f t="shared" si="2"/>
        <v>89.088560518041277</v>
      </c>
    </row>
    <row r="36" spans="1:8" x14ac:dyDescent="0.3">
      <c r="A36" s="1"/>
      <c r="B36" s="46">
        <v>2022</v>
      </c>
      <c r="C36" s="20">
        <f>'On-Level &amp; Cred'!G54</f>
        <v>2471.7000000000003</v>
      </c>
      <c r="D36" s="41">
        <f>'On-Level &amp; Cred'!H54</f>
        <v>1.1742413749999998</v>
      </c>
      <c r="E36" s="52">
        <f>'On-Level &amp; Cred'!$C$67*'On-Level &amp; Cred'!E54/D36</f>
        <v>0.81601286447189558</v>
      </c>
      <c r="F36" s="42">
        <f>C36*'On-Level &amp; Cred'!$C$67/D36</f>
        <v>1632.0257289437911</v>
      </c>
      <c r="G36" s="20">
        <f>'S1 Chain Ladder'!D35</f>
        <v>1598</v>
      </c>
      <c r="H36" s="23">
        <f t="shared" si="2"/>
        <v>34.025728943791137</v>
      </c>
    </row>
    <row r="37" spans="1:8" x14ac:dyDescent="0.3">
      <c r="A37" s="1"/>
      <c r="B37" s="46">
        <v>2023</v>
      </c>
      <c r="C37" s="20">
        <f>'On-Level &amp; Cred'!G55</f>
        <v>2483.2500000000005</v>
      </c>
      <c r="D37" s="41">
        <f>'On-Level &amp; Cred'!H55</f>
        <v>1.1130249999999999</v>
      </c>
      <c r="E37" s="52">
        <f>'On-Level &amp; Cred'!$C$67*'On-Level &amp; Cred'!E55/D37</f>
        <v>0.80457343179238305</v>
      </c>
      <c r="F37" s="42">
        <f>C37*'On-Level &amp; Cred'!$C$67/D37</f>
        <v>1729.8328783536233</v>
      </c>
      <c r="G37" s="20">
        <f>'S1 Chain Ladder'!D36</f>
        <v>1260.0999999999999</v>
      </c>
      <c r="H37" s="23">
        <f t="shared" si="2"/>
        <v>469.73287835362339</v>
      </c>
    </row>
    <row r="38" spans="1:8" x14ac:dyDescent="0.3">
      <c r="A38" s="1"/>
      <c r="B38" s="46">
        <v>2024</v>
      </c>
      <c r="C38" s="20">
        <f>'On-Level &amp; Cred'!G56</f>
        <v>2520</v>
      </c>
      <c r="D38" s="41">
        <f>'On-Level &amp; Cred'!H56</f>
        <v>1.0549999999999999</v>
      </c>
      <c r="E38" s="52">
        <f>'On-Level &amp; Cred'!$C$67*'On-Level &amp; Cred'!E56/D38</f>
        <v>0.771659064128149</v>
      </c>
      <c r="F38" s="42">
        <f>C38*'On-Level &amp; Cred'!$C$67/D38</f>
        <v>1851.9817539075575</v>
      </c>
      <c r="G38" s="20">
        <f>'S1 Chain Ladder'!D37</f>
        <v>991.2</v>
      </c>
      <c r="H38" s="23">
        <f t="shared" si="2"/>
        <v>860.78175390755746</v>
      </c>
    </row>
    <row r="39" spans="1:8" x14ac:dyDescent="0.3">
      <c r="A39" s="1"/>
      <c r="B39" s="46">
        <v>2025</v>
      </c>
      <c r="C39" s="20">
        <f>'On-Level &amp; Cred'!G57</f>
        <v>2650</v>
      </c>
      <c r="D39" s="41">
        <f>'On-Level &amp; Cred'!H57</f>
        <v>1</v>
      </c>
      <c r="E39" s="52">
        <f>'On-Level &amp; Cred'!$C$67*'On-Level &amp; Cred'!E57/D39</f>
        <v>0.77533363110018771</v>
      </c>
      <c r="F39" s="42">
        <f>C39*'On-Level &amp; Cred'!$C$67/D39</f>
        <v>2054.6341224154976</v>
      </c>
      <c r="G39" s="20">
        <f>'S1 Chain Ladder'!D38</f>
        <v>469</v>
      </c>
      <c r="H39" s="23">
        <f t="shared" si="2"/>
        <v>1585.6341224154976</v>
      </c>
    </row>
    <row r="40" spans="1:8" x14ac:dyDescent="0.3">
      <c r="A40" s="1"/>
      <c r="B40" s="43" t="s">
        <v>218</v>
      </c>
      <c r="C40" s="1"/>
      <c r="D40" s="1"/>
      <c r="E40" s="1"/>
      <c r="F40" s="42">
        <f>SUM(F34:F39)</f>
        <v>10073.142279191892</v>
      </c>
      <c r="G40" s="42">
        <f>SUM(G34:G39)</f>
        <v>7028.4000000000005</v>
      </c>
      <c r="H40" s="42">
        <f>SUM(H34:H39)</f>
        <v>3044.7422791918907</v>
      </c>
    </row>
    <row r="41" spans="1:8" x14ac:dyDescent="0.3">
      <c r="A41" s="1"/>
      <c r="B41" s="6" t="s">
        <v>249</v>
      </c>
      <c r="C41" s="1"/>
      <c r="D41" s="1"/>
      <c r="E41" s="1"/>
      <c r="F41" s="39" t="str">
        <f>IF(SUMPRODUCT(--(H34:H39&lt;0))=0,"OK","SEE NOTE")</f>
        <v>OK</v>
      </c>
      <c r="G41" s="1"/>
      <c r="H41" s="1"/>
    </row>
    <row r="42" spans="1:8" x14ac:dyDescent="0.3">
      <c r="A42" s="1"/>
      <c r="B42" s="4" t="s">
        <v>250</v>
      </c>
      <c r="C42" s="1"/>
      <c r="D42" s="1"/>
      <c r="E42" s="1"/>
      <c r="F42" s="1"/>
      <c r="G42" s="1"/>
      <c r="H42" s="1"/>
    </row>
    <row r="43" spans="1:8" x14ac:dyDescent="0.3">
      <c r="A43" s="1"/>
      <c r="B43" s="1"/>
      <c r="C43" s="1"/>
      <c r="D43" s="1"/>
      <c r="E43" s="1"/>
      <c r="F43" s="1"/>
      <c r="G43" s="1"/>
      <c r="H43" s="1"/>
    </row>
    <row r="44" spans="1:8" x14ac:dyDescent="0.3">
      <c r="A44" s="1"/>
      <c r="B44" s="1"/>
      <c r="C44" s="1"/>
      <c r="D44" s="1"/>
      <c r="E44" s="1"/>
      <c r="F44" s="1"/>
      <c r="G44" s="1"/>
      <c r="H44" s="1"/>
    </row>
    <row r="45" spans="1:8" x14ac:dyDescent="0.3">
      <c r="A45" s="1"/>
      <c r="B45" s="3" t="s">
        <v>220</v>
      </c>
      <c r="C45" s="1"/>
      <c r="D45" s="1"/>
      <c r="E45" s="1"/>
      <c r="F45" s="1"/>
      <c r="G45" s="1"/>
      <c r="H45" s="1"/>
    </row>
    <row r="46" spans="1:8" ht="26.4" x14ac:dyDescent="0.3">
      <c r="A46" s="1"/>
      <c r="B46" s="13"/>
      <c r="C46" s="13"/>
      <c r="D46" s="13"/>
      <c r="E46" s="13"/>
      <c r="F46" s="13" t="s">
        <v>215</v>
      </c>
      <c r="G46" s="13" t="s">
        <v>213</v>
      </c>
      <c r="H46" s="13" t="s">
        <v>216</v>
      </c>
    </row>
    <row r="47" spans="1:8" x14ac:dyDescent="0.3">
      <c r="A47" s="1"/>
      <c r="B47" s="45" t="s">
        <v>218</v>
      </c>
      <c r="C47" s="1"/>
      <c r="D47" s="1"/>
      <c r="E47" s="1"/>
      <c r="F47" s="42">
        <f>F14+F27+F40</f>
        <v>42566.461553581234</v>
      </c>
      <c r="G47" s="42">
        <f>G14+G27+G40</f>
        <v>31994.129886729461</v>
      </c>
      <c r="H47" s="42">
        <f>H14+H27+H40</f>
        <v>10572.331666851765</v>
      </c>
    </row>
  </sheetData>
  <pageMargins left="0.75" right="0.75" top="1" bottom="1" header="0.511811023622047" footer="0.511811023622047"/>
  <pageSetup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pageSetUpPr fitToPage="1"/>
  </sheetPr>
  <dimension ref="A1:H47"/>
  <sheetViews>
    <sheetView showGridLines="0" zoomScaleNormal="100" workbookViewId="0">
      <pane xSplit="2" ySplit="3" topLeftCell="G4" activePane="bottomRight" state="frozen"/>
      <selection pane="topRight" activeCell="C1" sqref="C1"/>
      <selection pane="bottomLeft" activeCell="A4" sqref="A4"/>
      <selection pane="bottomRight"/>
    </sheetView>
  </sheetViews>
  <sheetFormatPr defaultColWidth="8.6640625" defaultRowHeight="14.4" x14ac:dyDescent="0.3"/>
  <cols>
    <col min="1" max="1" width="2" customWidth="1"/>
    <col min="2" max="2" width="13" customWidth="1"/>
    <col min="3" max="3" width="15" customWidth="1"/>
    <col min="4" max="4" width="11" customWidth="1"/>
    <col min="5" max="5" width="13" customWidth="1"/>
    <col min="6" max="6" width="17" customWidth="1"/>
    <col min="7" max="7" width="16" customWidth="1"/>
    <col min="8" max="8" width="14" customWidth="1"/>
    <col min="9" max="9" width="3" customWidth="1"/>
    <col min="10" max="10" width="56" customWidth="1"/>
  </cols>
  <sheetData>
    <row r="1" spans="1:8" ht="17.399999999999999" x14ac:dyDescent="0.3">
      <c r="A1" s="1"/>
      <c r="B1" s="2" t="s">
        <v>251</v>
      </c>
      <c r="C1" s="1"/>
      <c r="D1" s="1"/>
      <c r="E1" s="1"/>
      <c r="F1" s="1"/>
      <c r="G1" s="1"/>
      <c r="H1" s="1"/>
    </row>
    <row r="2" spans="1:8" x14ac:dyDescent="0.3">
      <c r="A2" s="1"/>
      <c r="B2" s="4" t="s">
        <v>252</v>
      </c>
      <c r="C2" s="1"/>
      <c r="D2" s="1"/>
      <c r="E2" s="1"/>
      <c r="F2" s="1"/>
      <c r="G2" s="1"/>
      <c r="H2" s="1"/>
    </row>
    <row r="3" spans="1:8" x14ac:dyDescent="0.3">
      <c r="A3" s="1"/>
      <c r="B3" s="4" t="s">
        <v>253</v>
      </c>
      <c r="C3" s="1"/>
      <c r="D3" s="1"/>
      <c r="E3" s="1"/>
      <c r="F3" s="1"/>
      <c r="G3" s="1"/>
      <c r="H3" s="1"/>
    </row>
    <row r="4" spans="1:8" x14ac:dyDescent="0.3">
      <c r="A4" s="1"/>
      <c r="B4" s="1"/>
      <c r="C4" s="1"/>
      <c r="D4" s="1"/>
      <c r="E4" s="1"/>
      <c r="F4" s="1"/>
      <c r="G4" s="1"/>
      <c r="H4" s="1"/>
    </row>
    <row r="5" spans="1:8" x14ac:dyDescent="0.3">
      <c r="A5" s="1"/>
      <c r="B5" s="1"/>
      <c r="C5" s="1"/>
      <c r="D5" s="1"/>
      <c r="E5" s="1"/>
      <c r="F5" s="1"/>
      <c r="G5" s="1"/>
      <c r="H5" s="1"/>
    </row>
    <row r="6" spans="1:8" x14ac:dyDescent="0.3">
      <c r="A6" s="1"/>
      <c r="B6" s="3" t="s">
        <v>54</v>
      </c>
      <c r="C6" s="1"/>
      <c r="D6" s="1"/>
      <c r="E6" s="1"/>
      <c r="F6" s="1"/>
      <c r="G6" s="1"/>
      <c r="H6" s="1"/>
    </row>
    <row r="7" spans="1:8" ht="26.4" x14ac:dyDescent="0.3">
      <c r="A7" s="1"/>
      <c r="B7" s="13" t="s">
        <v>55</v>
      </c>
      <c r="C7" s="13" t="s">
        <v>213</v>
      </c>
      <c r="D7" s="13" t="s">
        <v>214</v>
      </c>
      <c r="E7" s="13" t="s">
        <v>254</v>
      </c>
      <c r="F7" s="13" t="s">
        <v>255</v>
      </c>
      <c r="G7" s="13" t="s">
        <v>215</v>
      </c>
      <c r="H7" s="13" t="s">
        <v>216</v>
      </c>
    </row>
    <row r="8" spans="1:8" x14ac:dyDescent="0.3">
      <c r="A8" s="1"/>
      <c r="B8" s="46">
        <v>2020</v>
      </c>
      <c r="C8" s="20">
        <f>'S1 Chain Ladder'!D7</f>
        <v>2432.5</v>
      </c>
      <c r="D8" s="41">
        <f>'S1 Chain Ladder'!E7</f>
        <v>1</v>
      </c>
      <c r="E8" s="32">
        <f t="shared" ref="E8:E13" si="0">1-1/D8</f>
        <v>0</v>
      </c>
      <c r="F8" s="20">
        <f>'S2 Expected Claims'!F8</f>
        <v>2399.7954014047291</v>
      </c>
      <c r="G8" s="42">
        <f t="shared" ref="G8:G13" si="1">C8+F8*E8</f>
        <v>2432.5</v>
      </c>
      <c r="H8" s="23">
        <f t="shared" ref="H8:H13" si="2">G8-C8</f>
        <v>0</v>
      </c>
    </row>
    <row r="9" spans="1:8" x14ac:dyDescent="0.3">
      <c r="A9" s="1"/>
      <c r="B9" s="46">
        <v>2021</v>
      </c>
      <c r="C9" s="20">
        <f>'S1 Chain Ladder'!D8</f>
        <v>2437.6999999999998</v>
      </c>
      <c r="D9" s="41">
        <f>'S1 Chain Ladder'!E8</f>
        <v>1.0374904034803378</v>
      </c>
      <c r="E9" s="32">
        <f t="shared" si="0"/>
        <v>3.6135662898252874E-2</v>
      </c>
      <c r="F9" s="20">
        <f>'S2 Expected Claims'!F9</f>
        <v>2723.3356201945494</v>
      </c>
      <c r="G9" s="42">
        <f t="shared" si="1"/>
        <v>2536.1095379301546</v>
      </c>
      <c r="H9" s="23">
        <f t="shared" si="2"/>
        <v>98.409537930154784</v>
      </c>
    </row>
    <row r="10" spans="1:8" x14ac:dyDescent="0.3">
      <c r="A10" s="1"/>
      <c r="B10" s="46">
        <v>2022</v>
      </c>
      <c r="C10" s="20">
        <f>'S1 Chain Ladder'!D9</f>
        <v>2898.3298867294616</v>
      </c>
      <c r="D10" s="41">
        <f>'S1 Chain Ladder'!E9</f>
        <v>1.0792165912394005</v>
      </c>
      <c r="E10" s="32">
        <f t="shared" si="0"/>
        <v>7.3401939779693448E-2</v>
      </c>
      <c r="F10" s="20">
        <f>'S2 Expected Claims'!F10</f>
        <v>2940.5601879639889</v>
      </c>
      <c r="G10" s="42">
        <f t="shared" si="1"/>
        <v>3114.1727085649582</v>
      </c>
      <c r="H10" s="23">
        <f t="shared" si="2"/>
        <v>215.84282183549658</v>
      </c>
    </row>
    <row r="11" spans="1:8" x14ac:dyDescent="0.3">
      <c r="A11" s="1"/>
      <c r="B11" s="46">
        <v>2023</v>
      </c>
      <c r="C11" s="20">
        <f>'S1 Chain Ladder'!D10</f>
        <v>2705.1</v>
      </c>
      <c r="D11" s="41">
        <f>'S1 Chain Ladder'!E10</f>
        <v>1.1831621215128221</v>
      </c>
      <c r="E11" s="32">
        <f t="shared" si="0"/>
        <v>0.15480728987387304</v>
      </c>
      <c r="F11" s="20">
        <f>'S2 Expected Claims'!F11</f>
        <v>3132.3358523964234</v>
      </c>
      <c r="G11" s="42">
        <f t="shared" si="1"/>
        <v>3190.0084242842581</v>
      </c>
      <c r="H11" s="23">
        <f t="shared" si="2"/>
        <v>484.90842428425822</v>
      </c>
    </row>
    <row r="12" spans="1:8" x14ac:dyDescent="0.3">
      <c r="A12" s="1"/>
      <c r="B12" s="46">
        <v>2024</v>
      </c>
      <c r="C12" s="20">
        <f>'S1 Chain Ladder'!D11</f>
        <v>2305.4</v>
      </c>
      <c r="D12" s="41">
        <f>'S1 Chain Ladder'!E11</f>
        <v>1.4430420491997717</v>
      </c>
      <c r="E12" s="32">
        <f t="shared" si="0"/>
        <v>0.30701950053739424</v>
      </c>
      <c r="F12" s="20">
        <f>'S2 Expected Claims'!F12</f>
        <v>3356.3714541791196</v>
      </c>
      <c r="G12" s="42">
        <f t="shared" si="1"/>
        <v>3335.8714874800407</v>
      </c>
      <c r="H12" s="23">
        <f t="shared" si="2"/>
        <v>1030.4714874800407</v>
      </c>
    </row>
    <row r="13" spans="1:8" x14ac:dyDescent="0.3">
      <c r="A13" s="1"/>
      <c r="B13" s="46">
        <v>2025</v>
      </c>
      <c r="C13" s="20">
        <f>'S1 Chain Ladder'!D12</f>
        <v>1525.9</v>
      </c>
      <c r="D13" s="41">
        <f>'S1 Chain Ladder'!E12</f>
        <v>2.3955810037263925</v>
      </c>
      <c r="E13" s="32">
        <f t="shared" si="0"/>
        <v>0.58256473129296305</v>
      </c>
      <c r="F13" s="20">
        <f>'S2 Expected Claims'!F13</f>
        <v>3645.0475849394802</v>
      </c>
      <c r="G13" s="42">
        <f t="shared" si="1"/>
        <v>3649.3761668703323</v>
      </c>
      <c r="H13" s="23">
        <f t="shared" si="2"/>
        <v>2123.4761668703322</v>
      </c>
    </row>
    <row r="14" spans="1:8" x14ac:dyDescent="0.3">
      <c r="A14" s="1"/>
      <c r="B14" s="43" t="s">
        <v>218</v>
      </c>
      <c r="C14" s="42">
        <f>SUM(C8:C13)</f>
        <v>14304.92988672946</v>
      </c>
      <c r="D14" s="1"/>
      <c r="E14" s="1"/>
      <c r="F14" s="1"/>
      <c r="G14" s="42">
        <f>SUM(G8:G13)</f>
        <v>18258.038325129746</v>
      </c>
      <c r="H14" s="42">
        <f>SUM(H8:H13)</f>
        <v>3953.1084384002825</v>
      </c>
    </row>
    <row r="15" spans="1:8" x14ac:dyDescent="0.3">
      <c r="A15" s="1"/>
      <c r="B15" s="6" t="s">
        <v>256</v>
      </c>
      <c r="C15" s="1"/>
      <c r="D15" s="1"/>
      <c r="E15" s="1"/>
      <c r="F15" s="1"/>
      <c r="G15" s="39" t="str">
        <f>IF(SUMPRODUCT(--(G8:G13&lt;MIN(0)+0))+SUMPRODUCT(--(G8:G13&lt;'S1 Chain Ladder'!F7:F12-0.001)*--(G8:G13&lt;F8:F13-0.001))+SUMPRODUCT(--(G8:G13&gt;'S1 Chain Ladder'!F7:F12+0.001)*--(G8:G13&gt;F8:F13+0.001))=0,"OK","REVIEW")</f>
        <v>OK</v>
      </c>
      <c r="H15" s="1"/>
    </row>
    <row r="16" spans="1:8" x14ac:dyDescent="0.3">
      <c r="A16" s="1"/>
      <c r="B16" s="4" t="s">
        <v>257</v>
      </c>
      <c r="C16" s="1"/>
      <c r="D16" s="1"/>
      <c r="E16" s="1"/>
      <c r="F16" s="1"/>
      <c r="G16" s="1"/>
      <c r="H16" s="1"/>
    </row>
    <row r="17" spans="1:8" x14ac:dyDescent="0.3">
      <c r="A17" s="1"/>
      <c r="B17" s="1"/>
      <c r="C17" s="1"/>
      <c r="D17" s="1"/>
      <c r="E17" s="1"/>
      <c r="F17" s="1"/>
      <c r="G17" s="1"/>
      <c r="H17" s="1"/>
    </row>
    <row r="18" spans="1:8" x14ac:dyDescent="0.3">
      <c r="A18" s="1"/>
      <c r="B18" s="1"/>
      <c r="C18" s="1"/>
      <c r="D18" s="1"/>
      <c r="E18" s="1"/>
      <c r="F18" s="1"/>
      <c r="G18" s="1"/>
      <c r="H18" s="1"/>
    </row>
    <row r="19" spans="1:8" x14ac:dyDescent="0.3">
      <c r="A19" s="1"/>
      <c r="B19" s="3" t="s">
        <v>69</v>
      </c>
      <c r="C19" s="1"/>
      <c r="D19" s="1"/>
      <c r="E19" s="1"/>
      <c r="F19" s="1"/>
      <c r="G19" s="1"/>
      <c r="H19" s="1"/>
    </row>
    <row r="20" spans="1:8" ht="26.4" x14ac:dyDescent="0.3">
      <c r="A20" s="1"/>
      <c r="B20" s="13" t="s">
        <v>55</v>
      </c>
      <c r="C20" s="13" t="s">
        <v>213</v>
      </c>
      <c r="D20" s="13" t="s">
        <v>214</v>
      </c>
      <c r="E20" s="13" t="s">
        <v>254</v>
      </c>
      <c r="F20" s="13" t="s">
        <v>255</v>
      </c>
      <c r="G20" s="13" t="s">
        <v>215</v>
      </c>
      <c r="H20" s="13" t="s">
        <v>216</v>
      </c>
    </row>
    <row r="21" spans="1:8" x14ac:dyDescent="0.3">
      <c r="A21" s="1"/>
      <c r="B21" s="46">
        <v>2020</v>
      </c>
      <c r="C21" s="20">
        <f>'S1 Chain Ladder'!D20</f>
        <v>1851.3</v>
      </c>
      <c r="D21" s="41">
        <f>'S1 Chain Ladder'!E20</f>
        <v>1</v>
      </c>
      <c r="E21" s="32">
        <f t="shared" ref="E21:E26" si="3">1-1/D21</f>
        <v>0</v>
      </c>
      <c r="F21" s="20">
        <f>'S2 Expected Claims'!F21</f>
        <v>1921.879182800951</v>
      </c>
      <c r="G21" s="42">
        <f t="shared" ref="G21:G26" si="4">C21+F21*E21</f>
        <v>1851.3</v>
      </c>
      <c r="H21" s="23">
        <f t="shared" ref="H21:H26" si="5">G21-C21</f>
        <v>0</v>
      </c>
    </row>
    <row r="22" spans="1:8" x14ac:dyDescent="0.3">
      <c r="A22" s="1"/>
      <c r="B22" s="46">
        <v>2021</v>
      </c>
      <c r="C22" s="20">
        <f>'S1 Chain Ladder'!D21</f>
        <v>2106.4</v>
      </c>
      <c r="D22" s="41">
        <f>'S1 Chain Ladder'!E21</f>
        <v>1.02</v>
      </c>
      <c r="E22" s="32">
        <f t="shared" si="3"/>
        <v>1.9607843137254943E-2</v>
      </c>
      <c r="F22" s="20">
        <f>'S2 Expected Claims'!F22</f>
        <v>2180.1962772634438</v>
      </c>
      <c r="G22" s="42">
        <f t="shared" si="4"/>
        <v>2149.1489466130088</v>
      </c>
      <c r="H22" s="23">
        <f t="shared" si="5"/>
        <v>42.748946613008684</v>
      </c>
    </row>
    <row r="23" spans="1:8" x14ac:dyDescent="0.3">
      <c r="A23" s="1"/>
      <c r="B23" s="46">
        <v>2022</v>
      </c>
      <c r="C23" s="20">
        <f>'S1 Chain Ladder'!D22</f>
        <v>2119.6</v>
      </c>
      <c r="D23" s="41">
        <f>'S1 Chain Ladder'!E22</f>
        <v>1.1019113474200393</v>
      </c>
      <c r="E23" s="32">
        <f t="shared" si="3"/>
        <v>9.2485976897006661E-2</v>
      </c>
      <c r="F23" s="20">
        <f>'S2 Expected Claims'!F23</f>
        <v>2323.8739653402768</v>
      </c>
      <c r="G23" s="42">
        <f t="shared" si="4"/>
        <v>2334.5257538700162</v>
      </c>
      <c r="H23" s="23">
        <f t="shared" si="5"/>
        <v>214.92575387001625</v>
      </c>
    </row>
    <row r="24" spans="1:8" x14ac:dyDescent="0.3">
      <c r="A24" s="1"/>
      <c r="B24" s="46">
        <v>2023</v>
      </c>
      <c r="C24" s="20">
        <f>'S1 Chain Ladder'!D23</f>
        <v>1982.1</v>
      </c>
      <c r="D24" s="41">
        <f>'S1 Chain Ladder'!E23</f>
        <v>1.2254030870078152</v>
      </c>
      <c r="E24" s="32">
        <f t="shared" si="3"/>
        <v>0.18394199377953557</v>
      </c>
      <c r="F24" s="20">
        <f>'S2 Expected Claims'!F24</f>
        <v>2441.5719496426154</v>
      </c>
      <c r="G24" s="42">
        <f t="shared" si="4"/>
        <v>2431.2076123734505</v>
      </c>
      <c r="H24" s="23">
        <f t="shared" si="5"/>
        <v>449.10761237345059</v>
      </c>
    </row>
    <row r="25" spans="1:8" x14ac:dyDescent="0.3">
      <c r="A25" s="1"/>
      <c r="B25" s="46">
        <v>2024</v>
      </c>
      <c r="C25" s="20">
        <f>'S1 Chain Ladder'!D24</f>
        <v>1694.4</v>
      </c>
      <c r="D25" s="41">
        <f>'S1 Chain Ladder'!E24</f>
        <v>1.5673225112662437</v>
      </c>
      <c r="E25" s="32">
        <f t="shared" si="3"/>
        <v>0.36196922279123167</v>
      </c>
      <c r="F25" s="20">
        <f>'S2 Expected Claims'!F25</f>
        <v>2599.4901353763807</v>
      </c>
      <c r="G25" s="42">
        <f t="shared" si="4"/>
        <v>2635.335423955662</v>
      </c>
      <c r="H25" s="23">
        <f t="shared" si="5"/>
        <v>940.93542395566192</v>
      </c>
    </row>
    <row r="26" spans="1:8" x14ac:dyDescent="0.3">
      <c r="A26" s="1"/>
      <c r="B26" s="46">
        <v>2025</v>
      </c>
      <c r="C26" s="20">
        <f>'S1 Chain Ladder'!D25</f>
        <v>907</v>
      </c>
      <c r="D26" s="41">
        <f>'S1 Chain Ladder'!E25</f>
        <v>2.9980001086420325</v>
      </c>
      <c r="E26" s="32">
        <f t="shared" si="3"/>
        <v>0.66644430828491275</v>
      </c>
      <c r="F26" s="20">
        <f>'S2 Expected Claims'!F26</f>
        <v>2828.861662887377</v>
      </c>
      <c r="G26" s="42">
        <f t="shared" si="4"/>
        <v>2792.2787541566859</v>
      </c>
      <c r="H26" s="23">
        <f t="shared" si="5"/>
        <v>1885.2787541566859</v>
      </c>
    </row>
    <row r="27" spans="1:8" x14ac:dyDescent="0.3">
      <c r="A27" s="1"/>
      <c r="B27" s="43" t="s">
        <v>218</v>
      </c>
      <c r="C27" s="42">
        <f>SUM(C21:C26)</f>
        <v>10660.8</v>
      </c>
      <c r="D27" s="1"/>
      <c r="E27" s="1"/>
      <c r="F27" s="1"/>
      <c r="G27" s="42">
        <f>SUM(G21:G26)</f>
        <v>14193.796490968823</v>
      </c>
      <c r="H27" s="42">
        <f>SUM(H21:H26)</f>
        <v>3532.9964909688233</v>
      </c>
    </row>
    <row r="28" spans="1:8" x14ac:dyDescent="0.3">
      <c r="A28" s="1"/>
      <c r="B28" s="6" t="s">
        <v>256</v>
      </c>
      <c r="C28" s="1"/>
      <c r="D28" s="1"/>
      <c r="E28" s="1"/>
      <c r="F28" s="1"/>
      <c r="G28" s="39" t="str">
        <f>IF(SUMPRODUCT(--(G21:G26&lt;MIN(0)+0))+SUMPRODUCT(--(G21:G26&lt;'S1 Chain Ladder'!F20:F25-0.001)*--(G21:G26&lt;F21:F26-0.001))+SUMPRODUCT(--(G21:G26&gt;'S1 Chain Ladder'!F20:F25+0.001)*--(G21:G26&gt;F21:F26+0.001))=0,"OK","REVIEW")</f>
        <v>OK</v>
      </c>
      <c r="H28" s="1"/>
    </row>
    <row r="29" spans="1:8" x14ac:dyDescent="0.3">
      <c r="A29" s="1"/>
      <c r="B29" s="4" t="s">
        <v>257</v>
      </c>
      <c r="C29" s="1"/>
      <c r="D29" s="1"/>
      <c r="E29" s="1"/>
      <c r="F29" s="1"/>
      <c r="G29" s="1"/>
      <c r="H29" s="1"/>
    </row>
    <row r="30" spans="1:8" x14ac:dyDescent="0.3">
      <c r="A30" s="1"/>
      <c r="B30" s="1"/>
      <c r="C30" s="1"/>
      <c r="D30" s="1"/>
      <c r="E30" s="1"/>
      <c r="F30" s="1"/>
      <c r="G30" s="1"/>
      <c r="H30" s="1"/>
    </row>
    <row r="31" spans="1:8" x14ac:dyDescent="0.3">
      <c r="A31" s="1"/>
      <c r="B31" s="1"/>
      <c r="C31" s="1"/>
      <c r="D31" s="1"/>
      <c r="E31" s="1"/>
      <c r="F31" s="1"/>
      <c r="G31" s="1"/>
      <c r="H31" s="1"/>
    </row>
    <row r="32" spans="1:8" x14ac:dyDescent="0.3">
      <c r="A32" s="1"/>
      <c r="B32" s="3" t="s">
        <v>70</v>
      </c>
      <c r="C32" s="1"/>
      <c r="D32" s="1"/>
      <c r="E32" s="1"/>
      <c r="F32" s="1"/>
      <c r="G32" s="1"/>
      <c r="H32" s="1"/>
    </row>
    <row r="33" spans="1:8" ht="26.4" x14ac:dyDescent="0.3">
      <c r="A33" s="1"/>
      <c r="B33" s="13" t="s">
        <v>55</v>
      </c>
      <c r="C33" s="13" t="s">
        <v>213</v>
      </c>
      <c r="D33" s="13" t="s">
        <v>214</v>
      </c>
      <c r="E33" s="13" t="s">
        <v>254</v>
      </c>
      <c r="F33" s="13" t="s">
        <v>255</v>
      </c>
      <c r="G33" s="13" t="s">
        <v>215</v>
      </c>
      <c r="H33" s="13" t="s">
        <v>216</v>
      </c>
    </row>
    <row r="34" spans="1:8" x14ac:dyDescent="0.3">
      <c r="A34" s="1"/>
      <c r="B34" s="46">
        <v>2020</v>
      </c>
      <c r="C34" s="20">
        <f>'S1 Chain Ladder'!D33</f>
        <v>1300.2</v>
      </c>
      <c r="D34" s="41">
        <f>'S1 Chain Ladder'!E33</f>
        <v>1</v>
      </c>
      <c r="E34" s="32">
        <f t="shared" ref="E34:E39" si="6">1-1/D34</f>
        <v>0</v>
      </c>
      <c r="F34" s="20">
        <f>'S2 Expected Claims'!F34</f>
        <v>1305.6792350533799</v>
      </c>
      <c r="G34" s="42">
        <f t="shared" ref="G34:G39" si="7">C34+F34*E34</f>
        <v>1300.2</v>
      </c>
      <c r="H34" s="23">
        <f t="shared" ref="H34:H39" si="8">G34-C34</f>
        <v>0</v>
      </c>
    </row>
    <row r="35" spans="1:8" x14ac:dyDescent="0.3">
      <c r="A35" s="1"/>
      <c r="B35" s="46">
        <v>2021</v>
      </c>
      <c r="C35" s="20">
        <f>'S1 Chain Ladder'!D34</f>
        <v>1409.9</v>
      </c>
      <c r="D35" s="41">
        <f>'S1 Chain Ladder'!E34</f>
        <v>1.0471971649484537</v>
      </c>
      <c r="E35" s="32">
        <f t="shared" si="6"/>
        <v>4.5069989232425889E-2</v>
      </c>
      <c r="F35" s="20">
        <f>'S2 Expected Claims'!F35</f>
        <v>1498.9885605180414</v>
      </c>
      <c r="G35" s="42">
        <f t="shared" si="7"/>
        <v>1477.4593982820777</v>
      </c>
      <c r="H35" s="23">
        <f t="shared" si="8"/>
        <v>67.559398282077609</v>
      </c>
    </row>
    <row r="36" spans="1:8" x14ac:dyDescent="0.3">
      <c r="A36" s="1"/>
      <c r="B36" s="46">
        <v>2022</v>
      </c>
      <c r="C36" s="20">
        <f>'S1 Chain Ladder'!D35</f>
        <v>1598</v>
      </c>
      <c r="D36" s="41">
        <f>'S1 Chain Ladder'!E35</f>
        <v>1.119343418068542</v>
      </c>
      <c r="E36" s="32">
        <f t="shared" si="6"/>
        <v>0.10661912701865206</v>
      </c>
      <c r="F36" s="20">
        <f>'S2 Expected Claims'!F36</f>
        <v>1632.0257289437911</v>
      </c>
      <c r="G36" s="42">
        <f t="shared" si="7"/>
        <v>1772.0051584919663</v>
      </c>
      <c r="H36" s="23">
        <f t="shared" si="8"/>
        <v>174.00515849196631</v>
      </c>
    </row>
    <row r="37" spans="1:8" x14ac:dyDescent="0.3">
      <c r="A37" s="1"/>
      <c r="B37" s="46">
        <v>2023</v>
      </c>
      <c r="C37" s="20">
        <f>'S1 Chain Ladder'!D36</f>
        <v>1260.0999999999999</v>
      </c>
      <c r="D37" s="41">
        <f>'S1 Chain Ladder'!E36</f>
        <v>1.3708526294623349</v>
      </c>
      <c r="E37" s="32">
        <f t="shared" si="6"/>
        <v>0.27052698553584698</v>
      </c>
      <c r="F37" s="20">
        <f>'S2 Expected Claims'!F37</f>
        <v>1729.8328783536233</v>
      </c>
      <c r="G37" s="42">
        <f t="shared" si="7"/>
        <v>1728.0664740618031</v>
      </c>
      <c r="H37" s="23">
        <f t="shared" si="8"/>
        <v>467.96647406180318</v>
      </c>
    </row>
    <row r="38" spans="1:8" x14ac:dyDescent="0.3">
      <c r="A38" s="1"/>
      <c r="B38" s="46">
        <v>2024</v>
      </c>
      <c r="C38" s="20">
        <f>'S1 Chain Ladder'!D37</f>
        <v>991.2</v>
      </c>
      <c r="D38" s="41">
        <f>'S1 Chain Ladder'!E37</f>
        <v>1.8388039597929995</v>
      </c>
      <c r="E38" s="32">
        <f t="shared" si="6"/>
        <v>0.45616823660061434</v>
      </c>
      <c r="F38" s="20">
        <f>'S2 Expected Claims'!F38</f>
        <v>1851.9817539075575</v>
      </c>
      <c r="G38" s="42">
        <f t="shared" si="7"/>
        <v>1836.0152508965234</v>
      </c>
      <c r="H38" s="23">
        <f t="shared" si="8"/>
        <v>844.81525089652337</v>
      </c>
    </row>
    <row r="39" spans="1:8" x14ac:dyDescent="0.3">
      <c r="A39" s="1"/>
      <c r="B39" s="46">
        <v>2025</v>
      </c>
      <c r="C39" s="20">
        <f>'S1 Chain Ladder'!D38</f>
        <v>469</v>
      </c>
      <c r="D39" s="41">
        <f>'S1 Chain Ladder'!E38</f>
        <v>3.8476142368038424</v>
      </c>
      <c r="E39" s="32">
        <f t="shared" si="6"/>
        <v>0.74009868493711428</v>
      </c>
      <c r="F39" s="20">
        <f>'S2 Expected Claims'!F39</f>
        <v>2054.6341224154976</v>
      </c>
      <c r="G39" s="42">
        <f t="shared" si="7"/>
        <v>1989.6320120266316</v>
      </c>
      <c r="H39" s="23">
        <f t="shared" si="8"/>
        <v>1520.6320120266316</v>
      </c>
    </row>
    <row r="40" spans="1:8" x14ac:dyDescent="0.3">
      <c r="A40" s="1"/>
      <c r="B40" s="43" t="s">
        <v>218</v>
      </c>
      <c r="C40" s="42">
        <f>SUM(C34:C39)</f>
        <v>7028.4000000000005</v>
      </c>
      <c r="D40" s="1"/>
      <c r="E40" s="1"/>
      <c r="F40" s="1"/>
      <c r="G40" s="42">
        <f>SUM(G34:G39)</f>
        <v>10103.378293759002</v>
      </c>
      <c r="H40" s="42">
        <f>SUM(H34:H39)</f>
        <v>3074.9782937590021</v>
      </c>
    </row>
    <row r="41" spans="1:8" x14ac:dyDescent="0.3">
      <c r="A41" s="1"/>
      <c r="B41" s="6" t="s">
        <v>256</v>
      </c>
      <c r="C41" s="1"/>
      <c r="D41" s="1"/>
      <c r="E41" s="1"/>
      <c r="F41" s="1"/>
      <c r="G41" s="39" t="str">
        <f>IF(SUMPRODUCT(--(G34:G39&lt;MIN(0)+0))+SUMPRODUCT(--(G34:G39&lt;'S1 Chain Ladder'!F33:F38-0.001)*--(G34:G39&lt;F34:F39-0.001))+SUMPRODUCT(--(G34:G39&gt;'S1 Chain Ladder'!F33:F38+0.001)*--(G34:G39&gt;F34:F39+0.001))=0,"OK","REVIEW")</f>
        <v>OK</v>
      </c>
      <c r="H41" s="1"/>
    </row>
    <row r="42" spans="1:8" x14ac:dyDescent="0.3">
      <c r="A42" s="1"/>
      <c r="B42" s="4" t="s">
        <v>257</v>
      </c>
      <c r="C42" s="1"/>
      <c r="D42" s="1"/>
      <c r="E42" s="1"/>
      <c r="F42" s="1"/>
      <c r="G42" s="1"/>
      <c r="H42" s="1"/>
    </row>
    <row r="43" spans="1:8" x14ac:dyDescent="0.3">
      <c r="A43" s="1"/>
      <c r="B43" s="1"/>
      <c r="C43" s="1"/>
      <c r="D43" s="1"/>
      <c r="E43" s="1"/>
      <c r="F43" s="1"/>
      <c r="G43" s="1"/>
      <c r="H43" s="1"/>
    </row>
    <row r="44" spans="1:8" x14ac:dyDescent="0.3">
      <c r="A44" s="1"/>
      <c r="B44" s="1"/>
      <c r="C44" s="1"/>
      <c r="D44" s="1"/>
      <c r="E44" s="1"/>
      <c r="F44" s="1"/>
      <c r="G44" s="1"/>
      <c r="H44" s="1"/>
    </row>
    <row r="45" spans="1:8" x14ac:dyDescent="0.3">
      <c r="A45" s="1"/>
      <c r="B45" s="3" t="s">
        <v>220</v>
      </c>
      <c r="C45" s="1"/>
      <c r="D45" s="1"/>
      <c r="E45" s="1"/>
      <c r="F45" s="1"/>
      <c r="G45" s="1"/>
      <c r="H45" s="1"/>
    </row>
    <row r="46" spans="1:8" ht="26.4" x14ac:dyDescent="0.3">
      <c r="A46" s="1"/>
      <c r="B46" s="13"/>
      <c r="C46" s="13" t="s">
        <v>213</v>
      </c>
      <c r="D46" s="13"/>
      <c r="E46" s="13"/>
      <c r="F46" s="13"/>
      <c r="G46" s="13" t="s">
        <v>215</v>
      </c>
      <c r="H46" s="13" t="s">
        <v>216</v>
      </c>
    </row>
    <row r="47" spans="1:8" x14ac:dyDescent="0.3">
      <c r="A47" s="1"/>
      <c r="B47" s="45" t="s">
        <v>218</v>
      </c>
      <c r="C47" s="42">
        <f>C14+C27+C40</f>
        <v>31994.129886729461</v>
      </c>
      <c r="D47" s="1"/>
      <c r="E47" s="1"/>
      <c r="F47" s="1"/>
      <c r="G47" s="42">
        <f>G14+G27+G40</f>
        <v>42555.21310985757</v>
      </c>
      <c r="H47" s="42">
        <f>H14+H27+H40</f>
        <v>10561.083223128107</v>
      </c>
    </row>
  </sheetData>
  <pageMargins left="0.75" right="0.75" top="1" bottom="1" header="0.511811023622047" footer="0.511811023622047"/>
  <pageSetup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pageSetUpPr fitToPage="1"/>
  </sheetPr>
  <dimension ref="A1:N155"/>
  <sheetViews>
    <sheetView showGridLines="0" zoomScaleNormal="100" workbookViewId="0">
      <pane xSplit="2" ySplit="3" topLeftCell="C40" activePane="bottomRight" state="frozen"/>
      <selection pane="topRight" activeCell="C1" sqref="C1"/>
      <selection pane="bottomLeft" activeCell="A4" sqref="A4"/>
      <selection pane="bottomRight" activeCell="H51" sqref="H51"/>
    </sheetView>
  </sheetViews>
  <sheetFormatPr defaultColWidth="8.6640625" defaultRowHeight="14.4" x14ac:dyDescent="0.3"/>
  <cols>
    <col min="1" max="1" width="2" customWidth="1"/>
    <col min="2" max="3" width="13" customWidth="1"/>
    <col min="4" max="5" width="12" customWidth="1"/>
    <col min="6" max="11" width="11" customWidth="1"/>
    <col min="12" max="14" width="12" customWidth="1"/>
    <col min="15" max="15" width="3" customWidth="1"/>
    <col min="16" max="16" width="52" customWidth="1"/>
  </cols>
  <sheetData>
    <row r="1" spans="1:14" ht="17.399999999999999" x14ac:dyDescent="0.3">
      <c r="A1" s="1"/>
      <c r="B1" s="2" t="s">
        <v>258</v>
      </c>
      <c r="C1" s="1"/>
      <c r="D1" s="1"/>
      <c r="E1" s="1"/>
      <c r="F1" s="1"/>
      <c r="G1" s="1"/>
      <c r="H1" s="1"/>
      <c r="I1" s="1"/>
      <c r="J1" s="1"/>
      <c r="K1" s="1"/>
      <c r="L1" s="1"/>
      <c r="M1" s="1"/>
      <c r="N1" s="1"/>
    </row>
    <row r="2" spans="1:14" x14ac:dyDescent="0.3">
      <c r="A2" s="1"/>
      <c r="B2" s="4" t="s">
        <v>259</v>
      </c>
      <c r="C2" s="1"/>
      <c r="D2" s="1"/>
      <c r="E2" s="1"/>
      <c r="F2" s="1"/>
      <c r="G2" s="1"/>
      <c r="H2" s="1"/>
      <c r="I2" s="1"/>
      <c r="J2" s="1"/>
      <c r="K2" s="1"/>
      <c r="L2" s="1"/>
      <c r="M2" s="1"/>
      <c r="N2" s="1"/>
    </row>
    <row r="3" spans="1:14" x14ac:dyDescent="0.3">
      <c r="A3" s="1"/>
      <c r="B3" s="4" t="s">
        <v>260</v>
      </c>
      <c r="C3" s="1"/>
      <c r="D3" s="1"/>
      <c r="E3" s="1"/>
      <c r="F3" s="1"/>
      <c r="G3" s="1"/>
      <c r="H3" s="1"/>
      <c r="I3" s="1"/>
      <c r="J3" s="1"/>
      <c r="K3" s="1"/>
      <c r="L3" s="1"/>
      <c r="M3" s="1"/>
      <c r="N3" s="1"/>
    </row>
    <row r="4" spans="1:14" x14ac:dyDescent="0.3">
      <c r="A4" s="1"/>
      <c r="B4" s="1"/>
      <c r="C4" s="1"/>
      <c r="D4" s="1"/>
      <c r="E4" s="1"/>
      <c r="F4" s="1"/>
      <c r="G4" s="1"/>
      <c r="H4" s="1"/>
      <c r="I4" s="1"/>
      <c r="J4" s="1"/>
      <c r="K4" s="1"/>
      <c r="L4" s="1"/>
      <c r="M4" s="1"/>
      <c r="N4" s="1"/>
    </row>
    <row r="5" spans="1:14" x14ac:dyDescent="0.3">
      <c r="A5" s="1"/>
      <c r="B5" s="1"/>
      <c r="C5" s="1"/>
      <c r="D5" s="1"/>
      <c r="E5" s="1"/>
      <c r="F5" s="1"/>
      <c r="G5" s="1"/>
      <c r="H5" s="1"/>
      <c r="I5" s="1"/>
      <c r="J5" s="1"/>
      <c r="K5" s="1"/>
      <c r="L5" s="1"/>
      <c r="M5" s="1"/>
      <c r="N5" s="1"/>
    </row>
    <row r="6" spans="1:14" x14ac:dyDescent="0.3">
      <c r="A6" s="1"/>
      <c r="B6" s="3" t="s">
        <v>54</v>
      </c>
      <c r="C6" s="1"/>
      <c r="D6" s="1"/>
      <c r="E6" s="1"/>
      <c r="F6" s="1"/>
      <c r="G6" s="1"/>
      <c r="H6" s="1"/>
      <c r="I6" s="1"/>
      <c r="J6" s="1"/>
      <c r="K6" s="1"/>
      <c r="L6" s="1"/>
      <c r="M6" s="1"/>
      <c r="N6" s="1"/>
    </row>
    <row r="7" spans="1:14" x14ac:dyDescent="0.3">
      <c r="A7" s="1"/>
      <c r="B7" s="5" t="s">
        <v>261</v>
      </c>
      <c r="C7" s="1"/>
      <c r="D7" s="1"/>
      <c r="E7" s="1"/>
      <c r="F7" s="1"/>
      <c r="G7" s="1"/>
      <c r="H7" s="1"/>
      <c r="I7" s="1"/>
      <c r="J7" s="1"/>
      <c r="K7" s="1"/>
      <c r="L7" s="1"/>
      <c r="M7" s="1"/>
      <c r="N7" s="1"/>
    </row>
    <row r="8" spans="1:14" ht="26.4" x14ac:dyDescent="0.3">
      <c r="A8" s="1"/>
      <c r="B8" s="13" t="s">
        <v>206</v>
      </c>
      <c r="C8" s="13" t="s">
        <v>100</v>
      </c>
      <c r="D8" s="13" t="s">
        <v>101</v>
      </c>
      <c r="E8" s="13" t="s">
        <v>102</v>
      </c>
      <c r="F8" s="13" t="s">
        <v>103</v>
      </c>
      <c r="G8" s="13" t="s">
        <v>104</v>
      </c>
      <c r="H8" s="13" t="s">
        <v>105</v>
      </c>
      <c r="I8" s="13" t="s">
        <v>262</v>
      </c>
      <c r="J8" s="1"/>
      <c r="K8" s="1"/>
      <c r="L8" s="1"/>
      <c r="M8" s="1"/>
      <c r="N8" s="1"/>
    </row>
    <row r="9" spans="1:14" x14ac:dyDescent="0.3">
      <c r="A9" s="1"/>
      <c r="B9" s="6" t="s">
        <v>263</v>
      </c>
      <c r="C9" s="41">
        <f>'Dev Factors'!C15</f>
        <v>2.3955810037263925</v>
      </c>
      <c r="D9" s="41">
        <f>'Dev Factors'!D15</f>
        <v>1.4430420491997717</v>
      </c>
      <c r="E9" s="41">
        <f>'Dev Factors'!E15</f>
        <v>1.1831621215128221</v>
      </c>
      <c r="F9" s="41">
        <f>'Dev Factors'!F15</f>
        <v>1.0792165912394005</v>
      </c>
      <c r="G9" s="41">
        <f>'Dev Factors'!G15</f>
        <v>1.0374904034803378</v>
      </c>
      <c r="H9" s="41">
        <f>'Dev Factors'!H15</f>
        <v>1</v>
      </c>
      <c r="I9" s="1"/>
      <c r="J9" s="1"/>
      <c r="K9" s="1"/>
      <c r="L9" s="1"/>
      <c r="M9" s="1"/>
      <c r="N9" s="1"/>
    </row>
    <row r="10" spans="1:14" x14ac:dyDescent="0.3">
      <c r="A10" s="1"/>
      <c r="B10" s="6" t="s">
        <v>264</v>
      </c>
      <c r="C10" s="53">
        <f>INDEX(Ext_tail,1)</f>
        <v>1.012</v>
      </c>
      <c r="D10" s="1"/>
      <c r="E10" s="1"/>
      <c r="F10" s="1"/>
      <c r="G10" s="1"/>
      <c r="H10" s="1"/>
      <c r="I10" s="1"/>
      <c r="J10" s="1"/>
      <c r="K10" s="1"/>
      <c r="L10" s="1"/>
      <c r="M10" s="1"/>
      <c r="N10" s="1"/>
    </row>
    <row r="11" spans="1:14" x14ac:dyDescent="0.3">
      <c r="A11" s="1"/>
      <c r="B11" s="7" t="s">
        <v>265</v>
      </c>
      <c r="C11" s="28">
        <f t="shared" ref="C11:H11" si="0">C9*$C$10</f>
        <v>2.4243279757711091</v>
      </c>
      <c r="D11" s="28">
        <f t="shared" si="0"/>
        <v>1.4603585537901691</v>
      </c>
      <c r="E11" s="28">
        <f t="shared" si="0"/>
        <v>1.1973600669709759</v>
      </c>
      <c r="F11" s="28">
        <f t="shared" si="0"/>
        <v>1.0921671903342733</v>
      </c>
      <c r="G11" s="28">
        <f t="shared" si="0"/>
        <v>1.0499402883221018</v>
      </c>
      <c r="H11" s="28">
        <f t="shared" si="0"/>
        <v>1.012</v>
      </c>
      <c r="I11" s="1"/>
      <c r="J11" s="1"/>
      <c r="K11" s="1"/>
      <c r="L11" s="1"/>
      <c r="M11" s="1"/>
      <c r="N11" s="1"/>
    </row>
    <row r="12" spans="1:14" x14ac:dyDescent="0.3">
      <c r="A12" s="1"/>
      <c r="B12" s="6" t="s">
        <v>266</v>
      </c>
      <c r="C12" s="52">
        <f t="shared" ref="C12:H12" si="1">1/C11</f>
        <v>0.4124854433864002</v>
      </c>
      <c r="D12" s="52">
        <f t="shared" si="1"/>
        <v>0.68476333938992662</v>
      </c>
      <c r="E12" s="52">
        <f t="shared" si="1"/>
        <v>0.83517066217996738</v>
      </c>
      <c r="F12" s="52">
        <f t="shared" si="1"/>
        <v>0.91561073144299066</v>
      </c>
      <c r="G12" s="52">
        <f t="shared" si="1"/>
        <v>0.95243511571318895</v>
      </c>
      <c r="H12" s="52">
        <f t="shared" si="1"/>
        <v>0.98814229249011853</v>
      </c>
      <c r="I12" s="1"/>
      <c r="J12" s="1"/>
      <c r="K12" s="1"/>
      <c r="L12" s="1"/>
      <c r="M12" s="1"/>
      <c r="N12" s="1"/>
    </row>
    <row r="13" spans="1:14" x14ac:dyDescent="0.3">
      <c r="A13" s="1"/>
      <c r="B13" s="6" t="s">
        <v>267</v>
      </c>
      <c r="C13" s="1"/>
      <c r="D13" s="52">
        <f>D12-C12</f>
        <v>0.27227789600352642</v>
      </c>
      <c r="E13" s="52">
        <f>E12-D12</f>
        <v>0.15040732279004076</v>
      </c>
      <c r="F13" s="52">
        <f>F12-E12</f>
        <v>8.0440069263023273E-2</v>
      </c>
      <c r="G13" s="52">
        <f>G12-F12</f>
        <v>3.6824384270198296E-2</v>
      </c>
      <c r="H13" s="52">
        <f>H12-G12</f>
        <v>3.5707176776929583E-2</v>
      </c>
      <c r="I13" s="52">
        <f>1-H12</f>
        <v>1.1857707509881465E-2</v>
      </c>
      <c r="J13" s="1"/>
      <c r="K13" s="1"/>
      <c r="L13" s="1"/>
      <c r="M13" s="1"/>
      <c r="N13" s="1"/>
    </row>
    <row r="14" spans="1:14" x14ac:dyDescent="0.3">
      <c r="A14" s="1"/>
      <c r="B14" s="1"/>
      <c r="C14" s="1"/>
      <c r="D14" s="1"/>
      <c r="E14" s="1"/>
      <c r="F14" s="1"/>
      <c r="G14" s="1"/>
      <c r="H14" s="1"/>
      <c r="I14" s="1"/>
      <c r="J14" s="1"/>
      <c r="K14" s="1"/>
      <c r="L14" s="1"/>
      <c r="M14" s="1"/>
      <c r="N14" s="1"/>
    </row>
    <row r="15" spans="1:14" x14ac:dyDescent="0.3">
      <c r="A15" s="1"/>
      <c r="B15" s="5" t="s">
        <v>268</v>
      </c>
      <c r="C15" s="1"/>
      <c r="D15" s="1"/>
      <c r="E15" s="1"/>
      <c r="F15" s="1"/>
      <c r="G15" s="1"/>
      <c r="H15" s="1"/>
      <c r="I15" s="1"/>
      <c r="J15" s="1"/>
      <c r="K15" s="1"/>
      <c r="L15" s="1"/>
      <c r="M15" s="1"/>
      <c r="N15" s="1"/>
    </row>
    <row r="16" spans="1:14" x14ac:dyDescent="0.3">
      <c r="A16" s="1"/>
      <c r="B16" s="4" t="s">
        <v>269</v>
      </c>
      <c r="C16" s="1"/>
      <c r="D16" s="1"/>
      <c r="E16" s="1"/>
      <c r="F16" s="1"/>
      <c r="G16" s="1"/>
      <c r="H16" s="1"/>
      <c r="I16" s="1"/>
      <c r="J16" s="1"/>
      <c r="K16" s="1"/>
      <c r="L16" s="1"/>
      <c r="M16" s="1"/>
      <c r="N16" s="1"/>
    </row>
    <row r="17" spans="1:14" ht="26.4" x14ac:dyDescent="0.3">
      <c r="A17" s="1"/>
      <c r="B17" s="13" t="s">
        <v>55</v>
      </c>
      <c r="C17" s="13" t="s">
        <v>270</v>
      </c>
      <c r="D17" s="13" t="s">
        <v>217</v>
      </c>
      <c r="E17" s="13" t="s">
        <v>271</v>
      </c>
      <c r="F17" s="13" t="s">
        <v>272</v>
      </c>
      <c r="G17" s="13" t="s">
        <v>273</v>
      </c>
      <c r="H17" s="13" t="s">
        <v>274</v>
      </c>
      <c r="I17" s="13" t="s">
        <v>275</v>
      </c>
      <c r="J17" s="13" t="s">
        <v>276</v>
      </c>
      <c r="K17" s="13" t="s">
        <v>277</v>
      </c>
      <c r="L17" s="13" t="s">
        <v>278</v>
      </c>
      <c r="M17" s="13" t="s">
        <v>279</v>
      </c>
      <c r="N17" s="13" t="s">
        <v>280</v>
      </c>
    </row>
    <row r="18" spans="1:14" x14ac:dyDescent="0.3">
      <c r="A18" s="1"/>
      <c r="B18" s="46">
        <v>2020</v>
      </c>
      <c r="C18" s="40">
        <v>72</v>
      </c>
      <c r="D18" s="54">
        <f>H$12</f>
        <v>0.98814229249011853</v>
      </c>
      <c r="E18" s="52">
        <f t="shared" ref="E18:E23" si="2">1-D18</f>
        <v>1.1857707509881465E-2</v>
      </c>
      <c r="F18" s="38">
        <v>0</v>
      </c>
      <c r="G18" s="38">
        <v>0</v>
      </c>
      <c r="H18" s="38">
        <v>0</v>
      </c>
      <c r="I18" s="38">
        <v>0</v>
      </c>
      <c r="J18" s="38">
        <v>0</v>
      </c>
      <c r="K18" s="38">
        <f>$I$13*(0+Ext_taillag)</f>
        <v>3.5573122529644396E-2</v>
      </c>
      <c r="L18" s="38">
        <f t="shared" ref="L18:L23" si="3">SUM(F18:K18)</f>
        <v>3.5573122529644396E-2</v>
      </c>
      <c r="M18" s="55">
        <f t="shared" ref="M18:M23" si="4">L18/E18</f>
        <v>3</v>
      </c>
      <c r="N18" s="28">
        <f t="shared" ref="N18:N23" si="5">(1+Ext_shock)^M18</f>
        <v>1.1248640000000001</v>
      </c>
    </row>
    <row r="19" spans="1:14" x14ac:dyDescent="0.3">
      <c r="A19" s="1"/>
      <c r="B19" s="46">
        <v>2021</v>
      </c>
      <c r="C19" s="40">
        <v>60</v>
      </c>
      <c r="D19" s="54">
        <f>G$12</f>
        <v>0.95243511571318895</v>
      </c>
      <c r="E19" s="52">
        <f t="shared" si="2"/>
        <v>4.7564884286811049E-2</v>
      </c>
      <c r="F19" s="38">
        <v>0</v>
      </c>
      <c r="G19" s="38">
        <v>0</v>
      </c>
      <c r="H19" s="38">
        <v>0</v>
      </c>
      <c r="I19" s="38">
        <v>0</v>
      </c>
      <c r="J19" s="38">
        <f>H$13*1</f>
        <v>3.5707176776929583E-2</v>
      </c>
      <c r="K19" s="38">
        <f>$I$13*(1+Ext_taillag)</f>
        <v>4.7430830039525862E-2</v>
      </c>
      <c r="L19" s="38">
        <f t="shared" si="3"/>
        <v>8.3138006816455445E-2</v>
      </c>
      <c r="M19" s="55">
        <f t="shared" si="4"/>
        <v>1.7478862413528089</v>
      </c>
      <c r="N19" s="28">
        <f t="shared" si="5"/>
        <v>1.0709577535579027</v>
      </c>
    </row>
    <row r="20" spans="1:14" x14ac:dyDescent="0.3">
      <c r="A20" s="1"/>
      <c r="B20" s="46">
        <v>2022</v>
      </c>
      <c r="C20" s="40">
        <v>48</v>
      </c>
      <c r="D20" s="54">
        <f>F$12</f>
        <v>0.91561073144299066</v>
      </c>
      <c r="E20" s="52">
        <f t="shared" si="2"/>
        <v>8.4389268557009345E-2</v>
      </c>
      <c r="F20" s="38">
        <v>0</v>
      </c>
      <c r="G20" s="38">
        <v>0</v>
      </c>
      <c r="H20" s="38">
        <v>0</v>
      </c>
      <c r="I20" s="38">
        <f>G$13*1</f>
        <v>3.6824384270198296E-2</v>
      </c>
      <c r="J20" s="38">
        <f>H$13*2</f>
        <v>7.1414353553859167E-2</v>
      </c>
      <c r="K20" s="38">
        <f>$I$13*(2+Ext_taillag)</f>
        <v>5.9288537549407327E-2</v>
      </c>
      <c r="L20" s="38">
        <f t="shared" si="3"/>
        <v>0.16752727537346479</v>
      </c>
      <c r="M20" s="55">
        <f t="shared" si="4"/>
        <v>1.9851727386437932</v>
      </c>
      <c r="N20" s="28">
        <f t="shared" si="5"/>
        <v>1.0809711937714928</v>
      </c>
    </row>
    <row r="21" spans="1:14" x14ac:dyDescent="0.3">
      <c r="A21" s="1"/>
      <c r="B21" s="46">
        <v>2023</v>
      </c>
      <c r="C21" s="40">
        <v>36</v>
      </c>
      <c r="D21" s="54">
        <f>E$12</f>
        <v>0.83517066217996738</v>
      </c>
      <c r="E21" s="52">
        <f t="shared" si="2"/>
        <v>0.16482933782003262</v>
      </c>
      <c r="F21" s="38">
        <v>0</v>
      </c>
      <c r="G21" s="38">
        <v>0</v>
      </c>
      <c r="H21" s="38">
        <f>F$13*1</f>
        <v>8.0440069263023273E-2</v>
      </c>
      <c r="I21" s="38">
        <f>G$13*2</f>
        <v>7.3648768540396592E-2</v>
      </c>
      <c r="J21" s="38">
        <f>H$13*3</f>
        <v>0.10712153033078875</v>
      </c>
      <c r="K21" s="38">
        <f>$I$13*(3+Ext_taillag)</f>
        <v>7.1146245059288793E-2</v>
      </c>
      <c r="L21" s="38">
        <f t="shared" si="3"/>
        <v>0.33235661319349741</v>
      </c>
      <c r="M21" s="55">
        <f t="shared" si="4"/>
        <v>2.016368066444445</v>
      </c>
      <c r="N21" s="28">
        <f t="shared" si="5"/>
        <v>1.0822945746888286</v>
      </c>
    </row>
    <row r="22" spans="1:14" x14ac:dyDescent="0.3">
      <c r="A22" s="1"/>
      <c r="B22" s="46">
        <v>2024</v>
      </c>
      <c r="C22" s="40">
        <v>24</v>
      </c>
      <c r="D22" s="54">
        <f>D$12</f>
        <v>0.68476333938992662</v>
      </c>
      <c r="E22" s="52">
        <f t="shared" si="2"/>
        <v>0.31523666061007338</v>
      </c>
      <c r="F22" s="38">
        <v>0</v>
      </c>
      <c r="G22" s="38">
        <f>E$13*1</f>
        <v>0.15040732279004076</v>
      </c>
      <c r="H22" s="38">
        <f>F$13*2</f>
        <v>0.16088013852604655</v>
      </c>
      <c r="I22" s="38">
        <f>G$13*3</f>
        <v>0.11047315281059489</v>
      </c>
      <c r="J22" s="38">
        <f>H$13*4</f>
        <v>0.14282870710771833</v>
      </c>
      <c r="K22" s="38">
        <f>$I$13*(4+Ext_taillag)</f>
        <v>8.3003952569170258E-2</v>
      </c>
      <c r="L22" s="38">
        <f t="shared" si="3"/>
        <v>0.64759327380357079</v>
      </c>
      <c r="M22" s="55">
        <f t="shared" si="4"/>
        <v>2.0543082538379007</v>
      </c>
      <c r="N22" s="28">
        <f t="shared" si="5"/>
        <v>1.083906272452746</v>
      </c>
    </row>
    <row r="23" spans="1:14" x14ac:dyDescent="0.3">
      <c r="A23" s="1"/>
      <c r="B23" s="46">
        <v>2025</v>
      </c>
      <c r="C23" s="40">
        <v>12</v>
      </c>
      <c r="D23" s="54">
        <f>C$12</f>
        <v>0.4124854433864002</v>
      </c>
      <c r="E23" s="52">
        <f t="shared" si="2"/>
        <v>0.58751455661359975</v>
      </c>
      <c r="F23" s="38">
        <f>D$13*1</f>
        <v>0.27227789600352642</v>
      </c>
      <c r="G23" s="38">
        <f>E$13*2</f>
        <v>0.30081464558008153</v>
      </c>
      <c r="H23" s="38">
        <f>F$13*3</f>
        <v>0.24132020778906982</v>
      </c>
      <c r="I23" s="38">
        <f>G$13*4</f>
        <v>0.14729753708079318</v>
      </c>
      <c r="J23" s="38">
        <f>H$13*5</f>
        <v>0.17853588388464792</v>
      </c>
      <c r="K23" s="38">
        <f>$I$13*(5+Ext_taillag)</f>
        <v>9.4861660079051724E-2</v>
      </c>
      <c r="L23" s="38">
        <f t="shared" si="3"/>
        <v>1.2351078304171705</v>
      </c>
      <c r="M23" s="55">
        <f t="shared" si="4"/>
        <v>2.1022591125848207</v>
      </c>
      <c r="N23" s="28">
        <f t="shared" si="5"/>
        <v>1.0859466571169725</v>
      </c>
    </row>
    <row r="24" spans="1:14" x14ac:dyDescent="0.3">
      <c r="A24" s="1"/>
      <c r="B24" s="1"/>
      <c r="C24" s="1"/>
      <c r="D24" s="1"/>
      <c r="E24" s="1"/>
      <c r="F24" s="1"/>
      <c r="G24" s="1"/>
      <c r="H24" s="1"/>
      <c r="I24" s="1"/>
      <c r="J24" s="1"/>
      <c r="K24" s="1"/>
      <c r="L24" s="1"/>
      <c r="M24" s="1"/>
      <c r="N24" s="1"/>
    </row>
    <row r="25" spans="1:14" x14ac:dyDescent="0.3">
      <c r="A25" s="1"/>
      <c r="B25" s="1"/>
      <c r="C25" s="1"/>
      <c r="D25" s="1"/>
      <c r="E25" s="1"/>
      <c r="F25" s="1"/>
      <c r="G25" s="1"/>
      <c r="H25" s="1"/>
      <c r="I25" s="1"/>
      <c r="J25" s="1"/>
      <c r="K25" s="1"/>
      <c r="L25" s="1"/>
      <c r="M25" s="1"/>
      <c r="N25" s="1"/>
    </row>
    <row r="26" spans="1:14" x14ac:dyDescent="0.3">
      <c r="A26" s="1"/>
      <c r="B26" s="5" t="s">
        <v>281</v>
      </c>
      <c r="C26" s="1"/>
      <c r="D26" s="1"/>
      <c r="E26" s="1"/>
      <c r="F26" s="1"/>
      <c r="G26" s="1"/>
      <c r="H26" s="1"/>
      <c r="I26" s="1"/>
      <c r="J26" s="1"/>
      <c r="K26" s="1"/>
      <c r="L26" s="1"/>
      <c r="M26" s="1"/>
      <c r="N26" s="1"/>
    </row>
    <row r="27" spans="1:14" ht="39.6" x14ac:dyDescent="0.3">
      <c r="A27" s="1"/>
      <c r="B27" s="13" t="s">
        <v>55</v>
      </c>
      <c r="C27" s="13" t="s">
        <v>213</v>
      </c>
      <c r="D27" s="13" t="s">
        <v>282</v>
      </c>
      <c r="E27" s="13" t="s">
        <v>283</v>
      </c>
      <c r="F27" s="13" t="s">
        <v>228</v>
      </c>
      <c r="G27" s="13" t="s">
        <v>230</v>
      </c>
      <c r="H27" s="13" t="s">
        <v>227</v>
      </c>
      <c r="I27" s="13" t="s">
        <v>284</v>
      </c>
      <c r="J27" s="1"/>
      <c r="K27" s="1"/>
      <c r="L27" s="1"/>
      <c r="M27" s="1"/>
      <c r="N27" s="1"/>
    </row>
    <row r="28" spans="1:14" x14ac:dyDescent="0.3">
      <c r="A28" s="1"/>
      <c r="B28" s="46">
        <v>2020</v>
      </c>
      <c r="C28" s="20">
        <f>'S1 Chain Ladder'!D7</f>
        <v>2432.5</v>
      </c>
      <c r="D28" s="41">
        <f>H$11</f>
        <v>1.012</v>
      </c>
      <c r="E28" s="23">
        <f t="shared" ref="E28:E33" si="6">C28*D28</f>
        <v>2461.69</v>
      </c>
      <c r="F28" s="41">
        <f>'On-Level &amp; Cred'!H8</f>
        <v>1.3069600064093747</v>
      </c>
      <c r="G28" s="22">
        <f t="shared" ref="G28:G33" si="7">E28*F28</f>
        <v>3217.3303781778936</v>
      </c>
      <c r="H28" s="20">
        <f>'On-Level &amp; Cred'!G8</f>
        <v>4904.6516619187487</v>
      </c>
      <c r="I28" s="56">
        <f>'On-Level &amp; Cred'!K8</f>
        <v>1</v>
      </c>
      <c r="J28" s="1"/>
      <c r="K28" s="1"/>
      <c r="L28" s="1"/>
      <c r="M28" s="1"/>
      <c r="N28" s="1"/>
    </row>
    <row r="29" spans="1:14" x14ac:dyDescent="0.3">
      <c r="A29" s="1"/>
      <c r="B29" s="46">
        <v>2021</v>
      </c>
      <c r="C29" s="20">
        <f>'S1 Chain Ladder'!D8</f>
        <v>2437.6999999999998</v>
      </c>
      <c r="D29" s="41">
        <f>G$11</f>
        <v>1.0499402883221018</v>
      </c>
      <c r="E29" s="23">
        <f t="shared" si="6"/>
        <v>2559.4394408427875</v>
      </c>
      <c r="F29" s="41">
        <f>'On-Level &amp; Cred'!H9</f>
        <v>1.2388246506249998</v>
      </c>
      <c r="G29" s="22">
        <f t="shared" si="7"/>
        <v>3170.6966710979109</v>
      </c>
      <c r="H29" s="20">
        <f>'On-Level &amp; Cred'!G9</f>
        <v>5275.7311809374987</v>
      </c>
      <c r="I29" s="56">
        <f>'On-Level &amp; Cred'!K9</f>
        <v>1</v>
      </c>
      <c r="J29" s="1"/>
      <c r="K29" s="1"/>
      <c r="L29" s="1"/>
      <c r="M29" s="1"/>
      <c r="N29" s="1"/>
    </row>
    <row r="30" spans="1:14" x14ac:dyDescent="0.3">
      <c r="A30" s="1"/>
      <c r="B30" s="46">
        <v>2022</v>
      </c>
      <c r="C30" s="20">
        <f>'S1 Chain Ladder'!D9</f>
        <v>2898.3298867294616</v>
      </c>
      <c r="D30" s="41">
        <f>F$11</f>
        <v>1.0921671903342733</v>
      </c>
      <c r="E30" s="23">
        <f t="shared" si="6"/>
        <v>3165.4608090511688</v>
      </c>
      <c r="F30" s="41">
        <f>'On-Level &amp; Cred'!H10</f>
        <v>1.1742413749999998</v>
      </c>
      <c r="G30" s="22">
        <f t="shared" si="7"/>
        <v>3717.0150529288562</v>
      </c>
      <c r="H30" s="20">
        <f>'On-Level &amp; Cred'!G10</f>
        <v>5399.5691249999991</v>
      </c>
      <c r="I30" s="56">
        <f>'On-Level &amp; Cred'!K10</f>
        <v>1</v>
      </c>
      <c r="J30" s="1"/>
      <c r="K30" s="1"/>
      <c r="L30" s="1"/>
      <c r="M30" s="1"/>
      <c r="N30" s="1"/>
    </row>
    <row r="31" spans="1:14" x14ac:dyDescent="0.3">
      <c r="A31" s="1"/>
      <c r="B31" s="46">
        <v>2023</v>
      </c>
      <c r="C31" s="20">
        <f>'S1 Chain Ladder'!D10</f>
        <v>2705.1</v>
      </c>
      <c r="D31" s="41">
        <f>E$11</f>
        <v>1.1973600669709759</v>
      </c>
      <c r="E31" s="23">
        <f t="shared" si="6"/>
        <v>3238.9787171631865</v>
      </c>
      <c r="F31" s="41">
        <f>'On-Level &amp; Cred'!H11</f>
        <v>1.1130249999999999</v>
      </c>
      <c r="G31" s="22">
        <f t="shared" si="7"/>
        <v>3605.0642866705552</v>
      </c>
      <c r="H31" s="20">
        <f>'On-Level &amp; Cred'!G11</f>
        <v>5451.8625000000002</v>
      </c>
      <c r="I31" s="56">
        <f>'On-Level &amp; Cred'!K11</f>
        <v>0</v>
      </c>
      <c r="J31" s="1"/>
      <c r="K31" s="1"/>
      <c r="L31" s="1"/>
      <c r="M31" s="1"/>
      <c r="N31" s="1"/>
    </row>
    <row r="32" spans="1:14" x14ac:dyDescent="0.3">
      <c r="A32" s="1"/>
      <c r="B32" s="46">
        <v>2024</v>
      </c>
      <c r="C32" s="20">
        <f>'S1 Chain Ladder'!D11</f>
        <v>2305.4</v>
      </c>
      <c r="D32" s="41">
        <f>D$11</f>
        <v>1.4603585537901691</v>
      </c>
      <c r="E32" s="23">
        <f t="shared" si="6"/>
        <v>3366.710609907856</v>
      </c>
      <c r="F32" s="41">
        <f>'On-Level &amp; Cred'!H12</f>
        <v>1.0549999999999999</v>
      </c>
      <c r="G32" s="22">
        <f t="shared" si="7"/>
        <v>3551.8796934527877</v>
      </c>
      <c r="H32" s="20">
        <f>'On-Level &amp; Cred'!G12</f>
        <v>5537.25</v>
      </c>
      <c r="I32" s="56">
        <f>'On-Level &amp; Cred'!K12</f>
        <v>0</v>
      </c>
      <c r="J32" s="1"/>
      <c r="K32" s="1"/>
      <c r="L32" s="1"/>
      <c r="M32" s="1"/>
      <c r="N32" s="1"/>
    </row>
    <row r="33" spans="1:14" x14ac:dyDescent="0.3">
      <c r="A33" s="1"/>
      <c r="B33" s="46">
        <v>2025</v>
      </c>
      <c r="C33" s="20">
        <f>'S1 Chain Ladder'!D12</f>
        <v>1525.9</v>
      </c>
      <c r="D33" s="41">
        <f>C$11</f>
        <v>2.4243279757711091</v>
      </c>
      <c r="E33" s="23">
        <f t="shared" si="6"/>
        <v>3699.2820582291356</v>
      </c>
      <c r="F33" s="41">
        <f>'On-Level &amp; Cred'!H13</f>
        <v>1</v>
      </c>
      <c r="G33" s="22">
        <f t="shared" si="7"/>
        <v>3699.2820582291356</v>
      </c>
      <c r="H33" s="20">
        <f>'On-Level &amp; Cred'!G13</f>
        <v>5700</v>
      </c>
      <c r="I33" s="56">
        <f>'On-Level &amp; Cred'!K13</f>
        <v>0</v>
      </c>
      <c r="J33" s="1"/>
      <c r="K33" s="1"/>
      <c r="L33" s="1"/>
      <c r="M33" s="1"/>
      <c r="N33" s="1"/>
    </row>
    <row r="34" spans="1:14" x14ac:dyDescent="0.3">
      <c r="A34" s="1"/>
      <c r="B34" s="1"/>
      <c r="C34" s="1"/>
      <c r="D34" s="1"/>
      <c r="E34" s="1"/>
      <c r="F34" s="1"/>
      <c r="G34" s="1"/>
      <c r="H34" s="1"/>
      <c r="I34" s="1"/>
      <c r="J34" s="1"/>
      <c r="K34" s="1"/>
      <c r="L34" s="1"/>
      <c r="M34" s="1"/>
      <c r="N34" s="1"/>
    </row>
    <row r="35" spans="1:14" x14ac:dyDescent="0.3">
      <c r="A35" s="1"/>
      <c r="B35" s="6" t="s">
        <v>285</v>
      </c>
      <c r="C35" s="51">
        <f>SUMPRODUCT($I$28:$I$33,$G$28:$G$33)/SUMPRODUCT($I$28:$I$33,$H$28:$H$33)</f>
        <v>0.64859263514116494</v>
      </c>
      <c r="D35" s="1"/>
      <c r="E35" s="1"/>
      <c r="F35" s="1"/>
      <c r="G35" s="1"/>
      <c r="H35" s="1"/>
      <c r="I35" s="1"/>
      <c r="J35" s="1"/>
      <c r="K35" s="1"/>
      <c r="L35" s="1"/>
      <c r="M35" s="1"/>
      <c r="N35" s="1"/>
    </row>
    <row r="36" spans="1:14" x14ac:dyDescent="0.3">
      <c r="A36" s="1"/>
      <c r="B36" s="6" t="s">
        <v>286</v>
      </c>
      <c r="C36" s="57">
        <f>'On-Level &amp; Cred'!C21</f>
        <v>0.93207379143511049</v>
      </c>
      <c r="D36" s="1"/>
      <c r="E36" s="1"/>
      <c r="F36" s="1"/>
      <c r="G36" s="1"/>
      <c r="H36" s="1"/>
      <c r="I36" s="1"/>
      <c r="J36" s="1"/>
      <c r="K36" s="1"/>
      <c r="L36" s="1"/>
      <c r="M36" s="1"/>
      <c r="N36" s="1"/>
    </row>
    <row r="37" spans="1:14" x14ac:dyDescent="0.3">
      <c r="A37" s="1"/>
      <c r="B37" s="6" t="s">
        <v>287</v>
      </c>
      <c r="C37" s="51">
        <f>'On-Level &amp; Cred'!C22</f>
        <v>0.62</v>
      </c>
      <c r="D37" s="1"/>
      <c r="E37" s="1"/>
      <c r="F37" s="1"/>
      <c r="G37" s="1"/>
      <c r="H37" s="1"/>
      <c r="I37" s="1"/>
      <c r="J37" s="1"/>
      <c r="K37" s="1"/>
      <c r="L37" s="1"/>
      <c r="M37" s="1"/>
      <c r="N37" s="1"/>
    </row>
    <row r="38" spans="1:14" x14ac:dyDescent="0.3">
      <c r="A38" s="1"/>
      <c r="B38" s="6" t="s">
        <v>288</v>
      </c>
      <c r="C38" s="49">
        <f>C36*C35+(1-C36)*C37</f>
        <v>0.64665044584314635</v>
      </c>
      <c r="D38" s="1"/>
      <c r="E38" s="1"/>
      <c r="F38" s="1"/>
      <c r="G38" s="1"/>
      <c r="H38" s="1"/>
      <c r="I38" s="1"/>
      <c r="J38" s="1"/>
      <c r="K38" s="1"/>
      <c r="L38" s="1"/>
      <c r="M38" s="1"/>
      <c r="N38" s="1"/>
    </row>
    <row r="39" spans="1:14" x14ac:dyDescent="0.3">
      <c r="A39" s="1"/>
      <c r="B39" s="1"/>
      <c r="C39" s="1"/>
      <c r="D39" s="1"/>
      <c r="E39" s="1"/>
      <c r="F39" s="1"/>
      <c r="G39" s="1"/>
      <c r="H39" s="1"/>
      <c r="I39" s="1"/>
      <c r="J39" s="1"/>
      <c r="K39" s="1"/>
      <c r="L39" s="1"/>
      <c r="M39" s="1"/>
      <c r="N39" s="1"/>
    </row>
    <row r="40" spans="1:14" x14ac:dyDescent="0.3">
      <c r="A40" s="1"/>
      <c r="B40" s="1"/>
      <c r="C40" s="1"/>
      <c r="D40" s="1"/>
      <c r="E40" s="1"/>
      <c r="F40" s="1"/>
      <c r="G40" s="1"/>
      <c r="H40" s="1"/>
      <c r="I40" s="1"/>
      <c r="J40" s="1"/>
      <c r="K40" s="1"/>
      <c r="L40" s="1"/>
      <c r="M40" s="1"/>
      <c r="N40" s="1"/>
    </row>
    <row r="41" spans="1:14" x14ac:dyDescent="0.3">
      <c r="A41" s="1"/>
      <c r="B41" s="5" t="s">
        <v>289</v>
      </c>
      <c r="C41" s="1"/>
      <c r="D41" s="1"/>
      <c r="E41" s="1"/>
      <c r="F41" s="1"/>
      <c r="G41" s="1"/>
      <c r="H41" s="1"/>
      <c r="I41" s="1"/>
      <c r="J41" s="1"/>
      <c r="K41" s="1"/>
      <c r="L41" s="1"/>
      <c r="M41" s="1"/>
      <c r="N41" s="1"/>
    </row>
    <row r="42" spans="1:14" x14ac:dyDescent="0.3">
      <c r="A42" s="1"/>
      <c r="B42" s="4" t="s">
        <v>290</v>
      </c>
      <c r="C42" s="1"/>
      <c r="D42" s="1"/>
      <c r="E42" s="1"/>
      <c r="F42" s="1"/>
      <c r="G42" s="1"/>
      <c r="H42" s="1"/>
      <c r="I42" s="1"/>
      <c r="J42" s="1"/>
      <c r="K42" s="1"/>
      <c r="L42" s="1"/>
      <c r="M42" s="1"/>
      <c r="N42" s="1"/>
    </row>
    <row r="43" spans="1:14" ht="26.4" x14ac:dyDescent="0.3">
      <c r="A43" s="1"/>
      <c r="B43" s="13" t="s">
        <v>55</v>
      </c>
      <c r="C43" s="13" t="s">
        <v>213</v>
      </c>
      <c r="D43" s="13" t="s">
        <v>280</v>
      </c>
      <c r="E43" s="13" t="s">
        <v>291</v>
      </c>
      <c r="F43" s="13" t="s">
        <v>292</v>
      </c>
      <c r="G43" s="13" t="s">
        <v>293</v>
      </c>
      <c r="H43" s="13" t="s">
        <v>294</v>
      </c>
      <c r="I43" s="13" t="s">
        <v>295</v>
      </c>
      <c r="J43" s="13" t="s">
        <v>296</v>
      </c>
      <c r="K43" s="13" t="s">
        <v>297</v>
      </c>
      <c r="L43" s="13" t="s">
        <v>298</v>
      </c>
      <c r="M43" s="13" t="s">
        <v>299</v>
      </c>
      <c r="N43" s="1"/>
    </row>
    <row r="44" spans="1:14" x14ac:dyDescent="0.3">
      <c r="A44" s="1"/>
      <c r="B44" s="46">
        <v>2020</v>
      </c>
      <c r="C44" s="22">
        <f t="shared" ref="C44:C49" si="8">C28</f>
        <v>2432.5</v>
      </c>
      <c r="D44" s="38">
        <f t="shared" ref="D44:D49" si="9">N18</f>
        <v>1.1248640000000001</v>
      </c>
      <c r="E44" s="22">
        <f t="shared" ref="E44:E49" si="10">E28</f>
        <v>2461.69</v>
      </c>
      <c r="F44" s="22">
        <f>'On-Level &amp; Cred'!G8*$C$38/'On-Level &amp; Cred'!H8</f>
        <v>2426.6964316669832</v>
      </c>
      <c r="G44" s="22">
        <f t="shared" ref="G44:G49" si="11">C44+F44*(1-1/D28)</f>
        <v>2461.2750565019801</v>
      </c>
      <c r="H44" s="42">
        <f t="shared" ref="H44:H49" si="12">C44+(E44-C44)*IF(E44&gt;C44,$D44,1)</f>
        <v>2465.3347801600003</v>
      </c>
      <c r="I44" s="42">
        <f t="shared" ref="I44:I49" si="13">C44+(F44-C44)*IF(F44&gt;C44,$D44,1)</f>
        <v>2426.6964316669832</v>
      </c>
      <c r="J44" s="42">
        <f t="shared" ref="J44:J49" si="14">C44+(G44-C44)*IF(G44&gt;C44,$D44,1)</f>
        <v>2464.8680251570431</v>
      </c>
      <c r="K44" s="22">
        <f t="shared" ref="K44:K49" si="15">H44-C44</f>
        <v>32.834780160000264</v>
      </c>
      <c r="L44" s="22">
        <f t="shared" ref="L44:L49" si="16">I44-C44</f>
        <v>-5.8035683330167558</v>
      </c>
      <c r="M44" s="22">
        <f t="shared" ref="M44:M49" si="17">J44-C44</f>
        <v>32.368025157043121</v>
      </c>
      <c r="N44" s="1"/>
    </row>
    <row r="45" spans="1:14" x14ac:dyDescent="0.3">
      <c r="A45" s="1"/>
      <c r="B45" s="46">
        <v>2021</v>
      </c>
      <c r="C45" s="22">
        <f t="shared" si="8"/>
        <v>2437.6999999999998</v>
      </c>
      <c r="D45" s="38">
        <f t="shared" si="9"/>
        <v>1.0709577535579027</v>
      </c>
      <c r="E45" s="22">
        <f t="shared" si="10"/>
        <v>2559.4394408427875</v>
      </c>
      <c r="F45" s="22">
        <f>'On-Level &amp; Cred'!G9*$C$38/'On-Level &amp; Cred'!H9</f>
        <v>2753.8634451458956</v>
      </c>
      <c r="G45" s="22">
        <f t="shared" si="11"/>
        <v>2568.6871961100433</v>
      </c>
      <c r="H45" s="42">
        <f t="shared" si="12"/>
        <v>2568.0777980843868</v>
      </c>
      <c r="I45" s="42">
        <f t="shared" si="13"/>
        <v>2776.2976929705756</v>
      </c>
      <c r="J45" s="42">
        <f t="shared" si="14"/>
        <v>2577.9817532908605</v>
      </c>
      <c r="K45" s="22">
        <f t="shared" si="15"/>
        <v>130.377798084387</v>
      </c>
      <c r="L45" s="22">
        <f t="shared" si="16"/>
        <v>338.59769297057574</v>
      </c>
      <c r="M45" s="22">
        <f t="shared" si="17"/>
        <v>140.28175329086071</v>
      </c>
      <c r="N45" s="1"/>
    </row>
    <row r="46" spans="1:14" x14ac:dyDescent="0.3">
      <c r="A46" s="1"/>
      <c r="B46" s="46">
        <v>2022</v>
      </c>
      <c r="C46" s="22">
        <f t="shared" si="8"/>
        <v>2898.3298867294616</v>
      </c>
      <c r="D46" s="38">
        <f t="shared" si="9"/>
        <v>1.0809711937714928</v>
      </c>
      <c r="E46" s="22">
        <f t="shared" si="10"/>
        <v>3165.4608090511688</v>
      </c>
      <c r="F46" s="22">
        <f>'On-Level &amp; Cred'!G10*$C$38/'On-Level &amp; Cred'!H10</f>
        <v>2973.5230391129235</v>
      </c>
      <c r="G46" s="22">
        <f t="shared" si="11"/>
        <v>3149.2633210376166</v>
      </c>
      <c r="H46" s="42">
        <f t="shared" si="12"/>
        <v>3187.0907187248372</v>
      </c>
      <c r="I46" s="42">
        <f t="shared" si="13"/>
        <v>2979.6115184248542</v>
      </c>
      <c r="J46" s="42">
        <f t="shared" si="14"/>
        <v>3169.5817007707283</v>
      </c>
      <c r="K46" s="22">
        <f t="shared" si="15"/>
        <v>288.76083199537561</v>
      </c>
      <c r="L46" s="22">
        <f t="shared" si="16"/>
        <v>81.281631695392662</v>
      </c>
      <c r="M46" s="22">
        <f t="shared" si="17"/>
        <v>271.2518140412667</v>
      </c>
      <c r="N46" s="1"/>
    </row>
    <row r="47" spans="1:14" x14ac:dyDescent="0.3">
      <c r="A47" s="1"/>
      <c r="B47" s="46">
        <v>2023</v>
      </c>
      <c r="C47" s="22">
        <f t="shared" si="8"/>
        <v>2705.1</v>
      </c>
      <c r="D47" s="38">
        <f t="shared" si="9"/>
        <v>1.0822945746888286</v>
      </c>
      <c r="E47" s="22">
        <f t="shared" si="10"/>
        <v>3238.9787171631865</v>
      </c>
      <c r="F47" s="22">
        <f>'On-Level &amp; Cred'!G11*$C$38/'On-Level &amp; Cred'!H11</f>
        <v>3167.4484547072443</v>
      </c>
      <c r="G47" s="22">
        <f t="shared" si="11"/>
        <v>3227.1884313684805</v>
      </c>
      <c r="H47" s="42">
        <f t="shared" si="12"/>
        <v>3282.9140391275482</v>
      </c>
      <c r="I47" s="42">
        <f t="shared" si="13"/>
        <v>3205.4972241454143</v>
      </c>
      <c r="J47" s="42">
        <f t="shared" si="14"/>
        <v>3270.1534767779071</v>
      </c>
      <c r="K47" s="22">
        <f t="shared" si="15"/>
        <v>577.81403912754831</v>
      </c>
      <c r="L47" s="22">
        <f t="shared" si="16"/>
        <v>500.39722414541438</v>
      </c>
      <c r="M47" s="22">
        <f t="shared" si="17"/>
        <v>565.05347677790724</v>
      </c>
      <c r="N47" s="1"/>
    </row>
    <row r="48" spans="1:14" x14ac:dyDescent="0.3">
      <c r="A48" s="1"/>
      <c r="B48" s="46">
        <v>2024</v>
      </c>
      <c r="C48" s="22">
        <f t="shared" si="8"/>
        <v>2305.4</v>
      </c>
      <c r="D48" s="38">
        <f t="shared" si="9"/>
        <v>1.083906272452746</v>
      </c>
      <c r="E48" s="22">
        <f t="shared" si="10"/>
        <v>3366.710609907856</v>
      </c>
      <c r="F48" s="22">
        <f>'On-Level &amp; Cred'!G12*$C$38/'On-Level &amp; Cred'!H12</f>
        <v>3393.9954324596802</v>
      </c>
      <c r="G48" s="22">
        <f t="shared" si="11"/>
        <v>3375.3117862544314</v>
      </c>
      <c r="H48" s="42">
        <f t="shared" si="12"/>
        <v>3455.7612270997743</v>
      </c>
      <c r="I48" s="42">
        <f t="shared" si="13"/>
        <v>3485.3354174064571</v>
      </c>
      <c r="J48" s="42">
        <f t="shared" si="14"/>
        <v>3465.0840960922997</v>
      </c>
      <c r="K48" s="22">
        <f t="shared" si="15"/>
        <v>1150.3612270997742</v>
      </c>
      <c r="L48" s="22">
        <f t="shared" si="16"/>
        <v>1179.935417406457</v>
      </c>
      <c r="M48" s="22">
        <f t="shared" si="17"/>
        <v>1159.6840960922996</v>
      </c>
      <c r="N48" s="1"/>
    </row>
    <row r="49" spans="1:14" x14ac:dyDescent="0.3">
      <c r="A49" s="1"/>
      <c r="B49" s="46">
        <v>2025</v>
      </c>
      <c r="C49" s="22">
        <f t="shared" si="8"/>
        <v>1525.9</v>
      </c>
      <c r="D49" s="38">
        <f t="shared" si="9"/>
        <v>1.0859466571169725</v>
      </c>
      <c r="E49" s="22">
        <f t="shared" si="10"/>
        <v>3699.2820582291356</v>
      </c>
      <c r="F49" s="22">
        <f>'On-Level &amp; Cred'!G13*$C$38/'On-Level &amp; Cred'!H13</f>
        <v>3685.907541305934</v>
      </c>
      <c r="G49" s="22">
        <f t="shared" si="11"/>
        <v>3691.4243348490795</v>
      </c>
      <c r="H49" s="42">
        <f t="shared" si="12"/>
        <v>3886.0769807719348</v>
      </c>
      <c r="I49" s="42">
        <f t="shared" si="13"/>
        <v>3871.5529688286297</v>
      </c>
      <c r="J49" s="42">
        <f t="shared" si="14"/>
        <v>3877.5439123348133</v>
      </c>
      <c r="K49" s="22">
        <f t="shared" si="15"/>
        <v>2360.1769807719347</v>
      </c>
      <c r="L49" s="22">
        <f t="shared" si="16"/>
        <v>2345.6529688286296</v>
      </c>
      <c r="M49" s="22">
        <f t="shared" si="17"/>
        <v>2351.6439123348132</v>
      </c>
      <c r="N49" s="1"/>
    </row>
    <row r="50" spans="1:14" x14ac:dyDescent="0.3">
      <c r="A50" s="1"/>
      <c r="B50" s="43" t="s">
        <v>218</v>
      </c>
      <c r="C50" s="42">
        <f>SUM(C44:C49)</f>
        <v>14304.92988672946</v>
      </c>
      <c r="D50" s="1"/>
      <c r="E50" s="1"/>
      <c r="F50" s="1"/>
      <c r="G50" s="1"/>
      <c r="H50" s="42">
        <f t="shared" ref="H50:M50" si="18">SUM(H44:H49)</f>
        <v>18845.25554396848</v>
      </c>
      <c r="I50" s="42">
        <f t="shared" si="18"/>
        <v>18744.991253442913</v>
      </c>
      <c r="J50" s="42">
        <f t="shared" si="18"/>
        <v>18825.212964423652</v>
      </c>
      <c r="K50" s="42">
        <f t="shared" si="18"/>
        <v>4540.3256572390201</v>
      </c>
      <c r="L50" s="42">
        <f t="shared" si="18"/>
        <v>4440.061366713453</v>
      </c>
      <c r="M50" s="42">
        <f t="shared" si="18"/>
        <v>4520.2830776941901</v>
      </c>
      <c r="N50" s="1"/>
    </row>
    <row r="51" spans="1:14" x14ac:dyDescent="0.3">
      <c r="A51" s="1"/>
      <c r="B51" s="6" t="s">
        <v>300</v>
      </c>
      <c r="C51" s="1"/>
      <c r="D51" s="1"/>
      <c r="E51" s="1"/>
      <c r="F51" s="1"/>
      <c r="G51" s="1"/>
      <c r="H51" s="39" t="str">
        <f>IF(SUMPRODUCT(--(H44:H49&lt;'S1 Chain Ladder'!F7:F12-0.001))+SUMPRODUCT(--(I44:I49&lt;'S2 Expected Claims'!F8:F13-0.001))+SUMPRODUCT(--(J44:J49&lt;'S3 BF'!G8:G13-0.001))=0,"OK","REVIEW")</f>
        <v>OK</v>
      </c>
      <c r="I51" s="1"/>
      <c r="J51" s="1"/>
      <c r="K51" s="1"/>
      <c r="L51" s="1"/>
      <c r="M51" s="1"/>
      <c r="N51" s="1"/>
    </row>
    <row r="52" spans="1:14" x14ac:dyDescent="0.3">
      <c r="A52" s="1"/>
      <c r="B52" s="1"/>
      <c r="C52" s="1"/>
      <c r="D52" s="1"/>
      <c r="E52" s="1"/>
      <c r="F52" s="1"/>
      <c r="G52" s="1"/>
      <c r="H52" s="1"/>
      <c r="I52" s="1"/>
      <c r="J52" s="1"/>
      <c r="K52" s="1"/>
      <c r="L52" s="1"/>
      <c r="M52" s="1"/>
      <c r="N52" s="1"/>
    </row>
    <row r="53" spans="1:14" x14ac:dyDescent="0.3">
      <c r="A53" s="1"/>
      <c r="B53" s="1"/>
      <c r="C53" s="1"/>
      <c r="D53" s="1"/>
      <c r="E53" s="1"/>
      <c r="F53" s="1"/>
      <c r="G53" s="1"/>
      <c r="H53" s="1"/>
      <c r="I53" s="1"/>
      <c r="J53" s="1"/>
      <c r="K53" s="1"/>
      <c r="L53" s="1"/>
      <c r="M53" s="1"/>
      <c r="N53" s="1"/>
    </row>
    <row r="54" spans="1:14" x14ac:dyDescent="0.3">
      <c r="A54" s="1"/>
      <c r="B54" s="1"/>
      <c r="C54" s="1"/>
      <c r="D54" s="1"/>
      <c r="E54" s="1"/>
      <c r="F54" s="1"/>
      <c r="G54" s="1"/>
      <c r="H54" s="1"/>
      <c r="I54" s="1"/>
      <c r="J54" s="1"/>
      <c r="K54" s="1"/>
      <c r="L54" s="1"/>
      <c r="M54" s="1"/>
      <c r="N54" s="1"/>
    </row>
    <row r="55" spans="1:14" x14ac:dyDescent="0.3">
      <c r="A55" s="1"/>
      <c r="B55" s="3" t="s">
        <v>69</v>
      </c>
      <c r="C55" s="1"/>
      <c r="D55" s="1"/>
      <c r="E55" s="1"/>
      <c r="F55" s="1"/>
      <c r="G55" s="1"/>
      <c r="H55" s="1"/>
      <c r="I55" s="1"/>
      <c r="J55" s="1"/>
      <c r="K55" s="1"/>
      <c r="L55" s="1"/>
      <c r="M55" s="1"/>
      <c r="N55" s="1"/>
    </row>
    <row r="56" spans="1:14" x14ac:dyDescent="0.3">
      <c r="A56" s="1"/>
      <c r="B56" s="5" t="s">
        <v>261</v>
      </c>
      <c r="C56" s="1"/>
      <c r="D56" s="1"/>
      <c r="E56" s="1"/>
      <c r="F56" s="1"/>
      <c r="G56" s="1"/>
      <c r="H56" s="1"/>
      <c r="I56" s="1"/>
      <c r="J56" s="1"/>
      <c r="K56" s="1"/>
      <c r="L56" s="1"/>
      <c r="M56" s="1"/>
      <c r="N56" s="1"/>
    </row>
    <row r="57" spans="1:14" ht="26.4" x14ac:dyDescent="0.3">
      <c r="A57" s="1"/>
      <c r="B57" s="13" t="s">
        <v>206</v>
      </c>
      <c r="C57" s="13" t="s">
        <v>100</v>
      </c>
      <c r="D57" s="13" t="s">
        <v>101</v>
      </c>
      <c r="E57" s="13" t="s">
        <v>102</v>
      </c>
      <c r="F57" s="13" t="s">
        <v>103</v>
      </c>
      <c r="G57" s="13" t="s">
        <v>104</v>
      </c>
      <c r="H57" s="13" t="s">
        <v>105</v>
      </c>
      <c r="I57" s="13" t="s">
        <v>262</v>
      </c>
      <c r="J57" s="1"/>
      <c r="K57" s="1"/>
      <c r="L57" s="1"/>
      <c r="M57" s="1"/>
      <c r="N57" s="1"/>
    </row>
    <row r="58" spans="1:14" x14ac:dyDescent="0.3">
      <c r="A58" s="1"/>
      <c r="B58" s="6" t="s">
        <v>263</v>
      </c>
      <c r="C58" s="41">
        <f>'Dev Factors'!C30</f>
        <v>2.9980001086420325</v>
      </c>
      <c r="D58" s="41">
        <f>'Dev Factors'!D30</f>
        <v>1.5673225112662437</v>
      </c>
      <c r="E58" s="41">
        <f>'Dev Factors'!E30</f>
        <v>1.2254030870078152</v>
      </c>
      <c r="F58" s="41">
        <f>'Dev Factors'!F30</f>
        <v>1.1019113474200393</v>
      </c>
      <c r="G58" s="41">
        <f>'Dev Factors'!G30</f>
        <v>1.02</v>
      </c>
      <c r="H58" s="41">
        <f>'Dev Factors'!H30</f>
        <v>1</v>
      </c>
      <c r="I58" s="1"/>
      <c r="J58" s="1"/>
      <c r="K58" s="1"/>
      <c r="L58" s="1"/>
      <c r="M58" s="1"/>
      <c r="N58" s="1"/>
    </row>
    <row r="59" spans="1:14" x14ac:dyDescent="0.3">
      <c r="A59" s="1"/>
      <c r="B59" s="6" t="s">
        <v>264</v>
      </c>
      <c r="C59" s="53">
        <f>INDEX(Ext_tail,2)</f>
        <v>1.034</v>
      </c>
      <c r="D59" s="1"/>
      <c r="E59" s="1"/>
      <c r="F59" s="1"/>
      <c r="G59" s="1"/>
      <c r="H59" s="1"/>
      <c r="I59" s="1"/>
      <c r="J59" s="1"/>
      <c r="K59" s="1"/>
      <c r="L59" s="1"/>
      <c r="M59" s="1"/>
      <c r="N59" s="1"/>
    </row>
    <row r="60" spans="1:14" x14ac:dyDescent="0.3">
      <c r="A60" s="1"/>
      <c r="B60" s="7" t="s">
        <v>265</v>
      </c>
      <c r="C60" s="28">
        <f t="shared" ref="C60:H60" si="19">C58*$C$59</f>
        <v>3.0999321123358619</v>
      </c>
      <c r="D60" s="28">
        <f t="shared" si="19"/>
        <v>1.6206114766492961</v>
      </c>
      <c r="E60" s="28">
        <f t="shared" si="19"/>
        <v>1.267066791966081</v>
      </c>
      <c r="F60" s="28">
        <f t="shared" si="19"/>
        <v>1.1393763332323206</v>
      </c>
      <c r="G60" s="28">
        <f t="shared" si="19"/>
        <v>1.0546800000000001</v>
      </c>
      <c r="H60" s="28">
        <f t="shared" si="19"/>
        <v>1.034</v>
      </c>
      <c r="I60" s="1"/>
      <c r="J60" s="1"/>
      <c r="K60" s="1"/>
      <c r="L60" s="1"/>
      <c r="M60" s="1"/>
      <c r="N60" s="1"/>
    </row>
    <row r="61" spans="1:14" x14ac:dyDescent="0.3">
      <c r="A61" s="1"/>
      <c r="B61" s="6" t="s">
        <v>266</v>
      </c>
      <c r="C61" s="52">
        <f t="shared" ref="C61:H61" si="20">1/C60</f>
        <v>0.32258770958905925</v>
      </c>
      <c r="D61" s="52">
        <f t="shared" si="20"/>
        <v>0.61705104178797709</v>
      </c>
      <c r="E61" s="52">
        <f t="shared" si="20"/>
        <v>0.78922437738923057</v>
      </c>
      <c r="F61" s="52">
        <f t="shared" si="20"/>
        <v>0.87767313646324308</v>
      </c>
      <c r="G61" s="52">
        <f t="shared" si="20"/>
        <v>0.94815489058292557</v>
      </c>
      <c r="H61" s="52">
        <f t="shared" si="20"/>
        <v>0.96711798839458407</v>
      </c>
      <c r="I61" s="1"/>
      <c r="J61" s="1"/>
      <c r="K61" s="1"/>
      <c r="L61" s="1"/>
      <c r="M61" s="1"/>
      <c r="N61" s="1"/>
    </row>
    <row r="62" spans="1:14" x14ac:dyDescent="0.3">
      <c r="A62" s="1"/>
      <c r="B62" s="6" t="s">
        <v>267</v>
      </c>
      <c r="C62" s="1"/>
      <c r="D62" s="52">
        <f>D61-C61</f>
        <v>0.29446333219891785</v>
      </c>
      <c r="E62" s="52">
        <f>E61-D61</f>
        <v>0.17217333560125347</v>
      </c>
      <c r="F62" s="52">
        <f>F61-E61</f>
        <v>8.8448759074012506E-2</v>
      </c>
      <c r="G62" s="52">
        <f>G61-F61</f>
        <v>7.0481754119682494E-2</v>
      </c>
      <c r="H62" s="52">
        <f>H61-G61</f>
        <v>1.8963097811658503E-2</v>
      </c>
      <c r="I62" s="52">
        <f>1-H61</f>
        <v>3.2882011605415928E-2</v>
      </c>
      <c r="J62" s="1"/>
      <c r="K62" s="1"/>
      <c r="L62" s="1"/>
      <c r="M62" s="1"/>
      <c r="N62" s="1"/>
    </row>
    <row r="63" spans="1:14" x14ac:dyDescent="0.3">
      <c r="A63" s="1"/>
      <c r="B63" s="1"/>
      <c r="C63" s="1"/>
      <c r="D63" s="1"/>
      <c r="E63" s="1"/>
      <c r="F63" s="1"/>
      <c r="G63" s="1"/>
      <c r="H63" s="1"/>
      <c r="I63" s="1"/>
      <c r="J63" s="1"/>
      <c r="K63" s="1"/>
      <c r="L63" s="1"/>
      <c r="M63" s="1"/>
      <c r="N63" s="1"/>
    </row>
    <row r="64" spans="1:14" x14ac:dyDescent="0.3">
      <c r="A64" s="1"/>
      <c r="B64" s="5" t="s">
        <v>268</v>
      </c>
      <c r="C64" s="1"/>
      <c r="D64" s="1"/>
      <c r="E64" s="1"/>
      <c r="F64" s="1"/>
      <c r="G64" s="1"/>
      <c r="H64" s="1"/>
      <c r="I64" s="1"/>
      <c r="J64" s="1"/>
      <c r="K64" s="1"/>
      <c r="L64" s="1"/>
      <c r="M64" s="1"/>
      <c r="N64" s="1"/>
    </row>
    <row r="65" spans="1:14" x14ac:dyDescent="0.3">
      <c r="A65" s="1"/>
      <c r="B65" s="4" t="s">
        <v>269</v>
      </c>
      <c r="C65" s="1"/>
      <c r="D65" s="1"/>
      <c r="E65" s="1"/>
      <c r="F65" s="1"/>
      <c r="G65" s="1"/>
      <c r="H65" s="1"/>
      <c r="I65" s="1"/>
      <c r="J65" s="1"/>
      <c r="K65" s="1"/>
      <c r="L65" s="1"/>
      <c r="M65" s="1"/>
      <c r="N65" s="1"/>
    </row>
    <row r="66" spans="1:14" ht="26.4" x14ac:dyDescent="0.3">
      <c r="A66" s="1"/>
      <c r="B66" s="13" t="s">
        <v>55</v>
      </c>
      <c r="C66" s="13" t="s">
        <v>270</v>
      </c>
      <c r="D66" s="13" t="s">
        <v>217</v>
      </c>
      <c r="E66" s="13" t="s">
        <v>271</v>
      </c>
      <c r="F66" s="13" t="s">
        <v>272</v>
      </c>
      <c r="G66" s="13" t="s">
        <v>273</v>
      </c>
      <c r="H66" s="13" t="s">
        <v>274</v>
      </c>
      <c r="I66" s="13" t="s">
        <v>275</v>
      </c>
      <c r="J66" s="13" t="s">
        <v>276</v>
      </c>
      <c r="K66" s="13" t="s">
        <v>277</v>
      </c>
      <c r="L66" s="13" t="s">
        <v>278</v>
      </c>
      <c r="M66" s="13" t="s">
        <v>279</v>
      </c>
      <c r="N66" s="13" t="s">
        <v>280</v>
      </c>
    </row>
    <row r="67" spans="1:14" x14ac:dyDescent="0.3">
      <c r="A67" s="1"/>
      <c r="B67" s="46">
        <v>2020</v>
      </c>
      <c r="C67" s="40">
        <v>72</v>
      </c>
      <c r="D67" s="54">
        <f>H$61</f>
        <v>0.96711798839458407</v>
      </c>
      <c r="E67" s="52">
        <f t="shared" ref="E67:E72" si="21">1-D67</f>
        <v>3.2882011605415928E-2</v>
      </c>
      <c r="F67" s="38">
        <v>0</v>
      </c>
      <c r="G67" s="38">
        <v>0</v>
      </c>
      <c r="H67" s="38">
        <v>0</v>
      </c>
      <c r="I67" s="38">
        <v>0</v>
      </c>
      <c r="J67" s="38">
        <v>0</v>
      </c>
      <c r="K67" s="38">
        <f>$I$62*(0+Ext_taillag)</f>
        <v>9.8646034816247785E-2</v>
      </c>
      <c r="L67" s="38">
        <f t="shared" ref="L67:L72" si="22">SUM(F67:K67)</f>
        <v>9.8646034816247785E-2</v>
      </c>
      <c r="M67" s="55">
        <f t="shared" ref="M67:M72" si="23">L67/E67</f>
        <v>3</v>
      </c>
      <c r="N67" s="28">
        <f t="shared" ref="N67:N72" si="24">(1+Ext_shock)^M67</f>
        <v>1.1248640000000001</v>
      </c>
    </row>
    <row r="68" spans="1:14" x14ac:dyDescent="0.3">
      <c r="A68" s="1"/>
      <c r="B68" s="46">
        <v>2021</v>
      </c>
      <c r="C68" s="40">
        <v>60</v>
      </c>
      <c r="D68" s="54">
        <f>G$61</f>
        <v>0.94815489058292557</v>
      </c>
      <c r="E68" s="52">
        <f t="shared" si="21"/>
        <v>5.1845109417074431E-2</v>
      </c>
      <c r="F68" s="38">
        <v>0</v>
      </c>
      <c r="G68" s="38">
        <v>0</v>
      </c>
      <c r="H68" s="38">
        <v>0</v>
      </c>
      <c r="I68" s="38">
        <v>0</v>
      </c>
      <c r="J68" s="38">
        <f>H$62*1</f>
        <v>1.8963097811658503E-2</v>
      </c>
      <c r="K68" s="38">
        <f>$I$62*(1+Ext_taillag)</f>
        <v>0.13152804642166371</v>
      </c>
      <c r="L68" s="38">
        <f t="shared" si="22"/>
        <v>0.15049114423332222</v>
      </c>
      <c r="M68" s="55">
        <f t="shared" si="23"/>
        <v>2.90270665691295</v>
      </c>
      <c r="N68" s="28">
        <f t="shared" si="24"/>
        <v>1.1205797946546063</v>
      </c>
    </row>
    <row r="69" spans="1:14" x14ac:dyDescent="0.3">
      <c r="A69" s="1"/>
      <c r="B69" s="46">
        <v>2022</v>
      </c>
      <c r="C69" s="40">
        <v>48</v>
      </c>
      <c r="D69" s="54">
        <f>F$61</f>
        <v>0.87767313646324308</v>
      </c>
      <c r="E69" s="52">
        <f t="shared" si="21"/>
        <v>0.12232686353675692</v>
      </c>
      <c r="F69" s="38">
        <v>0</v>
      </c>
      <c r="G69" s="38">
        <v>0</v>
      </c>
      <c r="H69" s="38">
        <v>0</v>
      </c>
      <c r="I69" s="38">
        <f>G$62*1</f>
        <v>7.0481754119682494E-2</v>
      </c>
      <c r="J69" s="38">
        <f>H$62*2</f>
        <v>3.7926195623317005E-2</v>
      </c>
      <c r="K69" s="38">
        <f>$I$62*(2+Ext_taillag)</f>
        <v>0.16441005802707964</v>
      </c>
      <c r="L69" s="38">
        <f t="shared" si="22"/>
        <v>0.27281800777007914</v>
      </c>
      <c r="M69" s="55">
        <f t="shared" si="23"/>
        <v>2.2302379042695102</v>
      </c>
      <c r="N69" s="28">
        <f t="shared" si="24"/>
        <v>1.0914111818180119</v>
      </c>
    </row>
    <row r="70" spans="1:14" x14ac:dyDescent="0.3">
      <c r="A70" s="1"/>
      <c r="B70" s="46">
        <v>2023</v>
      </c>
      <c r="C70" s="40">
        <v>36</v>
      </c>
      <c r="D70" s="54">
        <f>E$61</f>
        <v>0.78922437738923057</v>
      </c>
      <c r="E70" s="52">
        <f t="shared" si="21"/>
        <v>0.21077562261076943</v>
      </c>
      <c r="F70" s="38">
        <v>0</v>
      </c>
      <c r="G70" s="38">
        <v>0</v>
      </c>
      <c r="H70" s="38">
        <f>F$62*1</f>
        <v>8.8448759074012506E-2</v>
      </c>
      <c r="I70" s="38">
        <f>G$62*2</f>
        <v>0.14096350823936499</v>
      </c>
      <c r="J70" s="38">
        <f>H$62*3</f>
        <v>5.6889293434975508E-2</v>
      </c>
      <c r="K70" s="38">
        <f>$I$62*(3+Ext_taillag)</f>
        <v>0.19729206963249557</v>
      </c>
      <c r="L70" s="38">
        <f t="shared" si="22"/>
        <v>0.48359363038084857</v>
      </c>
      <c r="M70" s="55">
        <f t="shared" si="23"/>
        <v>2.2943527547959413</v>
      </c>
      <c r="N70" s="28">
        <f t="shared" si="24"/>
        <v>1.0941591308840379</v>
      </c>
    </row>
    <row r="71" spans="1:14" x14ac:dyDescent="0.3">
      <c r="A71" s="1"/>
      <c r="B71" s="46">
        <v>2024</v>
      </c>
      <c r="C71" s="40">
        <v>24</v>
      </c>
      <c r="D71" s="54">
        <f>D$61</f>
        <v>0.61705104178797709</v>
      </c>
      <c r="E71" s="52">
        <f t="shared" si="21"/>
        <v>0.38294895821202291</v>
      </c>
      <c r="F71" s="38">
        <v>0</v>
      </c>
      <c r="G71" s="38">
        <f>E$62*1</f>
        <v>0.17217333560125347</v>
      </c>
      <c r="H71" s="38">
        <f>F$62*2</f>
        <v>0.17689751814802501</v>
      </c>
      <c r="I71" s="38">
        <f>G$62*3</f>
        <v>0.21144526235904748</v>
      </c>
      <c r="J71" s="38">
        <f>H$62*4</f>
        <v>7.585239124663401E-2</v>
      </c>
      <c r="K71" s="38">
        <f>$I$62*(4+Ext_taillag)</f>
        <v>0.2301740812379115</v>
      </c>
      <c r="L71" s="38">
        <f t="shared" si="22"/>
        <v>0.86654258859287148</v>
      </c>
      <c r="M71" s="55">
        <f t="shared" si="23"/>
        <v>2.2628148478030403</v>
      </c>
      <c r="N71" s="28">
        <f t="shared" si="24"/>
        <v>1.0928065592569356</v>
      </c>
    </row>
    <row r="72" spans="1:14" x14ac:dyDescent="0.3">
      <c r="A72" s="1"/>
      <c r="B72" s="46">
        <v>2025</v>
      </c>
      <c r="C72" s="40">
        <v>12</v>
      </c>
      <c r="D72" s="54">
        <f>C$61</f>
        <v>0.32258770958905925</v>
      </c>
      <c r="E72" s="52">
        <f t="shared" si="21"/>
        <v>0.67741229041094075</v>
      </c>
      <c r="F72" s="38">
        <f>D$62*1</f>
        <v>0.29446333219891785</v>
      </c>
      <c r="G72" s="38">
        <f>E$62*2</f>
        <v>0.34434667120250695</v>
      </c>
      <c r="H72" s="38">
        <f>F$62*3</f>
        <v>0.26534627722203752</v>
      </c>
      <c r="I72" s="38">
        <f>G$62*4</f>
        <v>0.28192701647872997</v>
      </c>
      <c r="J72" s="38">
        <f>H$62*5</f>
        <v>9.4815489058292513E-2</v>
      </c>
      <c r="K72" s="38">
        <f>$I$62*(5+Ext_taillag)</f>
        <v>0.26305609284332743</v>
      </c>
      <c r="L72" s="38">
        <f t="shared" si="22"/>
        <v>1.5439548790038122</v>
      </c>
      <c r="M72" s="55">
        <f t="shared" si="23"/>
        <v>2.279195256506489</v>
      </c>
      <c r="N72" s="28">
        <f t="shared" si="24"/>
        <v>1.0935088598365077</v>
      </c>
    </row>
    <row r="73" spans="1:14" x14ac:dyDescent="0.3">
      <c r="A73" s="1"/>
      <c r="B73" s="1"/>
      <c r="C73" s="1"/>
      <c r="D73" s="1"/>
      <c r="E73" s="1"/>
      <c r="F73" s="1"/>
      <c r="G73" s="1"/>
      <c r="H73" s="1"/>
      <c r="I73" s="1"/>
      <c r="J73" s="1"/>
      <c r="K73" s="1"/>
      <c r="L73" s="1"/>
      <c r="M73" s="1"/>
      <c r="N73" s="1"/>
    </row>
    <row r="74" spans="1:14" x14ac:dyDescent="0.3">
      <c r="A74" s="1"/>
      <c r="B74" s="1"/>
      <c r="C74" s="1"/>
      <c r="D74" s="1"/>
      <c r="E74" s="1"/>
      <c r="F74" s="1"/>
      <c r="G74" s="1"/>
      <c r="H74" s="1"/>
      <c r="I74" s="1"/>
      <c r="J74" s="1"/>
      <c r="K74" s="1"/>
      <c r="L74" s="1"/>
      <c r="M74" s="1"/>
      <c r="N74" s="1"/>
    </row>
    <row r="75" spans="1:14" x14ac:dyDescent="0.3">
      <c r="A75" s="1"/>
      <c r="B75" s="5" t="s">
        <v>281</v>
      </c>
      <c r="C75" s="1"/>
      <c r="D75" s="1"/>
      <c r="E75" s="1"/>
      <c r="F75" s="1"/>
      <c r="G75" s="1"/>
      <c r="H75" s="1"/>
      <c r="I75" s="1"/>
      <c r="J75" s="1"/>
      <c r="K75" s="1"/>
      <c r="L75" s="1"/>
      <c r="M75" s="1"/>
      <c r="N75" s="1"/>
    </row>
    <row r="76" spans="1:14" ht="39.6" x14ac:dyDescent="0.3">
      <c r="A76" s="1"/>
      <c r="B76" s="13" t="s">
        <v>55</v>
      </c>
      <c r="C76" s="13" t="s">
        <v>213</v>
      </c>
      <c r="D76" s="13" t="s">
        <v>282</v>
      </c>
      <c r="E76" s="13" t="s">
        <v>283</v>
      </c>
      <c r="F76" s="13" t="s">
        <v>228</v>
      </c>
      <c r="G76" s="13" t="s">
        <v>230</v>
      </c>
      <c r="H76" s="13" t="s">
        <v>227</v>
      </c>
      <c r="I76" s="13" t="s">
        <v>284</v>
      </c>
      <c r="J76" s="1"/>
      <c r="K76" s="1"/>
      <c r="L76" s="1"/>
      <c r="M76" s="1"/>
      <c r="N76" s="1"/>
    </row>
    <row r="77" spans="1:14" x14ac:dyDescent="0.3">
      <c r="A77" s="1"/>
      <c r="B77" s="46">
        <v>2020</v>
      </c>
      <c r="C77" s="20">
        <f>'S1 Chain Ladder'!D20</f>
        <v>1851.3</v>
      </c>
      <c r="D77" s="41">
        <f>H$60</f>
        <v>1.034</v>
      </c>
      <c r="E77" s="23">
        <f t="shared" ref="E77:E82" si="25">C77*D77</f>
        <v>1914.2442000000001</v>
      </c>
      <c r="F77" s="41">
        <f>'On-Level &amp; Cred'!H30</f>
        <v>1.3069600064093747</v>
      </c>
      <c r="G77" s="22">
        <f t="shared" ref="G77:G82" si="26">E77*F77</f>
        <v>2501.8406119011083</v>
      </c>
      <c r="H77" s="20">
        <f>'On-Level &amp; Cred'!G30</f>
        <v>3684.8920318031251</v>
      </c>
      <c r="I77" s="56">
        <f>'On-Level &amp; Cred'!K30</f>
        <v>1</v>
      </c>
      <c r="J77" s="1"/>
      <c r="K77" s="1"/>
      <c r="L77" s="1"/>
      <c r="M77" s="1"/>
      <c r="N77" s="1"/>
    </row>
    <row r="78" spans="1:14" x14ac:dyDescent="0.3">
      <c r="A78" s="1"/>
      <c r="B78" s="46">
        <v>2021</v>
      </c>
      <c r="C78" s="20">
        <f>'S1 Chain Ladder'!D21</f>
        <v>2106.4</v>
      </c>
      <c r="D78" s="41">
        <f>G$60</f>
        <v>1.0546800000000001</v>
      </c>
      <c r="E78" s="23">
        <f t="shared" si="25"/>
        <v>2221.5779520000001</v>
      </c>
      <c r="F78" s="41">
        <f>'On-Level &amp; Cred'!H31</f>
        <v>1.2388246506249998</v>
      </c>
      <c r="G78" s="22">
        <f t="shared" si="26"/>
        <v>2752.1455302226027</v>
      </c>
      <c r="H78" s="20">
        <f>'On-Level &amp; Cred'!G31</f>
        <v>3962.2494965624996</v>
      </c>
      <c r="I78" s="56">
        <f>'On-Level &amp; Cred'!K31</f>
        <v>1</v>
      </c>
      <c r="J78" s="1"/>
      <c r="K78" s="1"/>
      <c r="L78" s="1"/>
      <c r="M78" s="1"/>
      <c r="N78" s="1"/>
    </row>
    <row r="79" spans="1:14" x14ac:dyDescent="0.3">
      <c r="A79" s="1"/>
      <c r="B79" s="46">
        <v>2022</v>
      </c>
      <c r="C79" s="20">
        <f>'S1 Chain Ladder'!D22</f>
        <v>2119.6</v>
      </c>
      <c r="D79" s="41">
        <f>F$60</f>
        <v>1.1393763332323206</v>
      </c>
      <c r="E79" s="23">
        <f t="shared" si="25"/>
        <v>2415.0220759192266</v>
      </c>
      <c r="F79" s="41">
        <f>'On-Level &amp; Cred'!H32</f>
        <v>1.1742413749999998</v>
      </c>
      <c r="G79" s="22">
        <f t="shared" si="26"/>
        <v>2835.8188430827468</v>
      </c>
      <c r="H79" s="20">
        <f>'On-Level &amp; Cred'!G32</f>
        <v>4003.1912249999991</v>
      </c>
      <c r="I79" s="56">
        <f>'On-Level &amp; Cred'!K32</f>
        <v>1</v>
      </c>
      <c r="J79" s="1"/>
      <c r="K79" s="1"/>
      <c r="L79" s="1"/>
      <c r="M79" s="1"/>
      <c r="N79" s="1"/>
    </row>
    <row r="80" spans="1:14" x14ac:dyDescent="0.3">
      <c r="A80" s="1"/>
      <c r="B80" s="46">
        <v>2023</v>
      </c>
      <c r="C80" s="20">
        <f>'S1 Chain Ladder'!D23</f>
        <v>1982.1</v>
      </c>
      <c r="D80" s="41">
        <f>E$60</f>
        <v>1.267066791966081</v>
      </c>
      <c r="E80" s="23">
        <f t="shared" si="25"/>
        <v>2511.4530883559692</v>
      </c>
      <c r="F80" s="41">
        <f>'On-Level &amp; Cred'!H33</f>
        <v>1.1130249999999999</v>
      </c>
      <c r="G80" s="22">
        <f t="shared" si="26"/>
        <v>2795.3100736674023</v>
      </c>
      <c r="H80" s="20">
        <f>'On-Level &amp; Cred'!G33</f>
        <v>3986.6749999999997</v>
      </c>
      <c r="I80" s="56">
        <f>'On-Level &amp; Cred'!K33</f>
        <v>0</v>
      </c>
      <c r="J80" s="1"/>
      <c r="K80" s="1"/>
      <c r="L80" s="1"/>
      <c r="M80" s="1"/>
      <c r="N80" s="1"/>
    </row>
    <row r="81" spans="1:14" x14ac:dyDescent="0.3">
      <c r="A81" s="1"/>
      <c r="B81" s="46">
        <v>2024</v>
      </c>
      <c r="C81" s="20">
        <f>'S1 Chain Ladder'!D24</f>
        <v>1694.4</v>
      </c>
      <c r="D81" s="41">
        <f>D$60</f>
        <v>1.6206114766492961</v>
      </c>
      <c r="E81" s="23">
        <f t="shared" si="25"/>
        <v>2745.9640860345676</v>
      </c>
      <c r="F81" s="41">
        <f>'On-Level &amp; Cred'!H34</f>
        <v>1.0549999999999999</v>
      </c>
      <c r="G81" s="22">
        <f t="shared" si="26"/>
        <v>2896.9921107664686</v>
      </c>
      <c r="H81" s="20">
        <f>'On-Level &amp; Cred'!G34</f>
        <v>4023.2499999999995</v>
      </c>
      <c r="I81" s="56">
        <f>'On-Level &amp; Cred'!K34</f>
        <v>0</v>
      </c>
      <c r="J81" s="1"/>
      <c r="K81" s="1"/>
      <c r="L81" s="1"/>
      <c r="M81" s="1"/>
      <c r="N81" s="1"/>
    </row>
    <row r="82" spans="1:14" x14ac:dyDescent="0.3">
      <c r="A82" s="1"/>
      <c r="B82" s="46">
        <v>2025</v>
      </c>
      <c r="C82" s="20">
        <f>'S1 Chain Ladder'!D25</f>
        <v>907</v>
      </c>
      <c r="D82" s="41">
        <f>C$60</f>
        <v>3.0999321123358619</v>
      </c>
      <c r="E82" s="23">
        <f t="shared" si="25"/>
        <v>2811.6384258886269</v>
      </c>
      <c r="F82" s="41">
        <f>'On-Level &amp; Cred'!H35</f>
        <v>1</v>
      </c>
      <c r="G82" s="22">
        <f t="shared" si="26"/>
        <v>2811.6384258886269</v>
      </c>
      <c r="H82" s="20">
        <f>'On-Level &amp; Cred'!G35</f>
        <v>4150</v>
      </c>
      <c r="I82" s="56">
        <f>'On-Level &amp; Cred'!K35</f>
        <v>0</v>
      </c>
      <c r="J82" s="1"/>
      <c r="K82" s="1"/>
      <c r="L82" s="1"/>
      <c r="M82" s="1"/>
      <c r="N82" s="1"/>
    </row>
    <row r="83" spans="1:14" x14ac:dyDescent="0.3">
      <c r="A83" s="1"/>
      <c r="B83" s="1"/>
      <c r="C83" s="1"/>
      <c r="D83" s="1"/>
      <c r="E83" s="1"/>
      <c r="F83" s="1"/>
      <c r="G83" s="1"/>
      <c r="H83" s="1"/>
      <c r="I83" s="1"/>
      <c r="J83" s="1"/>
      <c r="K83" s="1"/>
      <c r="L83" s="1"/>
      <c r="M83" s="1"/>
      <c r="N83" s="1"/>
    </row>
    <row r="84" spans="1:14" x14ac:dyDescent="0.3">
      <c r="A84" s="1"/>
      <c r="B84" s="6" t="s">
        <v>285</v>
      </c>
      <c r="C84" s="51">
        <f>SUMPRODUCT($I$77:$I$82,$G$77:$G$82)/SUMPRODUCT($I$77:$I$82,$H$77:$H$82)</f>
        <v>0.6943840280329695</v>
      </c>
      <c r="D84" s="1"/>
      <c r="E84" s="1"/>
      <c r="F84" s="1"/>
      <c r="G84" s="1"/>
      <c r="H84" s="1"/>
      <c r="I84" s="1"/>
      <c r="J84" s="1"/>
      <c r="K84" s="1"/>
      <c r="L84" s="1"/>
      <c r="M84" s="1"/>
      <c r="N84" s="1"/>
    </row>
    <row r="85" spans="1:14" x14ac:dyDescent="0.3">
      <c r="A85" s="1"/>
      <c r="B85" s="6" t="s">
        <v>286</v>
      </c>
      <c r="C85" s="57">
        <f>'On-Level &amp; Cred'!C43</f>
        <v>0.64490037058852168</v>
      </c>
      <c r="D85" s="1"/>
      <c r="E85" s="1"/>
      <c r="F85" s="1"/>
      <c r="G85" s="1"/>
      <c r="H85" s="1"/>
      <c r="I85" s="1"/>
      <c r="J85" s="1"/>
      <c r="K85" s="1"/>
      <c r="L85" s="1"/>
      <c r="M85" s="1"/>
      <c r="N85" s="1"/>
    </row>
    <row r="86" spans="1:14" x14ac:dyDescent="0.3">
      <c r="A86" s="1"/>
      <c r="B86" s="6" t="s">
        <v>287</v>
      </c>
      <c r="C86" s="51">
        <f>'On-Level &amp; Cred'!C44</f>
        <v>0.7</v>
      </c>
      <c r="D86" s="1"/>
      <c r="E86" s="1"/>
      <c r="F86" s="1"/>
      <c r="G86" s="1"/>
      <c r="H86" s="1"/>
      <c r="I86" s="1"/>
      <c r="J86" s="1"/>
      <c r="K86" s="1"/>
      <c r="L86" s="1"/>
      <c r="M86" s="1"/>
      <c r="N86" s="1"/>
    </row>
    <row r="87" spans="1:14" x14ac:dyDescent="0.3">
      <c r="A87" s="1"/>
      <c r="B87" s="6" t="s">
        <v>288</v>
      </c>
      <c r="C87" s="49">
        <f>C85*C84+(1-C85)*C86</f>
        <v>0.69637825759724725</v>
      </c>
      <c r="D87" s="1"/>
      <c r="E87" s="1"/>
      <c r="F87" s="1"/>
      <c r="G87" s="1"/>
      <c r="H87" s="1"/>
      <c r="I87" s="1"/>
      <c r="J87" s="1"/>
      <c r="K87" s="1"/>
      <c r="L87" s="1"/>
      <c r="M87" s="1"/>
      <c r="N87" s="1"/>
    </row>
    <row r="88" spans="1:14" x14ac:dyDescent="0.3">
      <c r="A88" s="1"/>
      <c r="B88" s="1"/>
      <c r="C88" s="1"/>
      <c r="D88" s="1"/>
      <c r="E88" s="1"/>
      <c r="F88" s="1"/>
      <c r="G88" s="1"/>
      <c r="H88" s="1"/>
      <c r="I88" s="1"/>
      <c r="J88" s="1"/>
      <c r="K88" s="1"/>
      <c r="L88" s="1"/>
      <c r="M88" s="1"/>
      <c r="N88" s="1"/>
    </row>
    <row r="89" spans="1:14" x14ac:dyDescent="0.3">
      <c r="A89" s="1"/>
      <c r="B89" s="1"/>
      <c r="C89" s="1"/>
      <c r="D89" s="1"/>
      <c r="E89" s="1"/>
      <c r="F89" s="1"/>
      <c r="G89" s="1"/>
      <c r="H89" s="1"/>
      <c r="I89" s="1"/>
      <c r="J89" s="1"/>
      <c r="K89" s="1"/>
      <c r="L89" s="1"/>
      <c r="M89" s="1"/>
      <c r="N89" s="1"/>
    </row>
    <row r="90" spans="1:14" x14ac:dyDescent="0.3">
      <c r="A90" s="1"/>
      <c r="B90" s="5" t="s">
        <v>289</v>
      </c>
      <c r="C90" s="1"/>
      <c r="D90" s="1"/>
      <c r="E90" s="1"/>
      <c r="F90" s="1"/>
      <c r="G90" s="1"/>
      <c r="H90" s="1"/>
      <c r="I90" s="1"/>
      <c r="J90" s="1"/>
      <c r="K90" s="1"/>
      <c r="L90" s="1"/>
      <c r="M90" s="1"/>
      <c r="N90" s="1"/>
    </row>
    <row r="91" spans="1:14" x14ac:dyDescent="0.3">
      <c r="A91" s="1"/>
      <c r="B91" s="4" t="s">
        <v>290</v>
      </c>
      <c r="C91" s="1"/>
      <c r="D91" s="1"/>
      <c r="E91" s="1"/>
      <c r="F91" s="1"/>
      <c r="G91" s="1"/>
      <c r="H91" s="1"/>
      <c r="I91" s="1"/>
      <c r="J91" s="1"/>
      <c r="K91" s="1"/>
      <c r="L91" s="1"/>
      <c r="M91" s="1"/>
      <c r="N91" s="1"/>
    </row>
    <row r="92" spans="1:14" ht="26.4" x14ac:dyDescent="0.3">
      <c r="A92" s="1"/>
      <c r="B92" s="13" t="s">
        <v>55</v>
      </c>
      <c r="C92" s="13" t="s">
        <v>213</v>
      </c>
      <c r="D92" s="13" t="s">
        <v>280</v>
      </c>
      <c r="E92" s="13" t="s">
        <v>291</v>
      </c>
      <c r="F92" s="13" t="s">
        <v>292</v>
      </c>
      <c r="G92" s="13" t="s">
        <v>293</v>
      </c>
      <c r="H92" s="13" t="s">
        <v>294</v>
      </c>
      <c r="I92" s="13" t="s">
        <v>295</v>
      </c>
      <c r="J92" s="13" t="s">
        <v>296</v>
      </c>
      <c r="K92" s="13" t="s">
        <v>297</v>
      </c>
      <c r="L92" s="13" t="s">
        <v>298</v>
      </c>
      <c r="M92" s="13" t="s">
        <v>299</v>
      </c>
      <c r="N92" s="1"/>
    </row>
    <row r="93" spans="1:14" x14ac:dyDescent="0.3">
      <c r="A93" s="1"/>
      <c r="B93" s="46">
        <v>2020</v>
      </c>
      <c r="C93" s="22">
        <f t="shared" ref="C93:C98" si="27">C77</f>
        <v>1851.3</v>
      </c>
      <c r="D93" s="38">
        <f t="shared" ref="D93:D98" si="28">N67</f>
        <v>1.1248640000000001</v>
      </c>
      <c r="E93" s="22">
        <f t="shared" ref="E93:E98" si="29">E77</f>
        <v>1914.2442000000001</v>
      </c>
      <c r="F93" s="22">
        <f>'On-Level &amp; Cred'!G30*$C$87/'On-Level &amp; Cred'!H30</f>
        <v>1963.3949623224171</v>
      </c>
      <c r="G93" s="22">
        <f t="shared" ref="G93:G98" si="30">C93+F93*(1-1/D77)</f>
        <v>1915.8603759371008</v>
      </c>
      <c r="H93" s="42">
        <f t="shared" ref="H93:H98" si="31">C93+(E93-C93)*IF(E93&gt;C93,$D93,1)</f>
        <v>1922.1036645888</v>
      </c>
      <c r="I93" s="42">
        <f t="shared" ref="I93:I98" si="32">C93+(F93-C93)*IF(F93&gt;C93,$D93,1)</f>
        <v>1977.3915876978433</v>
      </c>
      <c r="J93" s="42">
        <f t="shared" ref="J93:J98" si="33">C93+(G93-C93)*IF(G93&gt;C93,$D93,1)</f>
        <v>1923.9216427181109</v>
      </c>
      <c r="K93" s="22">
        <f t="shared" ref="K93:K98" si="34">H93-C93</f>
        <v>70.803664588800075</v>
      </c>
      <c r="L93" s="22">
        <f t="shared" ref="L93:L98" si="35">I93-C93</f>
        <v>126.09158769784335</v>
      </c>
      <c r="M93" s="22">
        <f t="shared" ref="M93:M98" si="36">J93-C93</f>
        <v>72.621642718110934</v>
      </c>
      <c r="N93" s="1"/>
    </row>
    <row r="94" spans="1:14" x14ac:dyDescent="0.3">
      <c r="A94" s="1"/>
      <c r="B94" s="46">
        <v>2021</v>
      </c>
      <c r="C94" s="22">
        <f t="shared" si="27"/>
        <v>2106.4</v>
      </c>
      <c r="D94" s="38">
        <f t="shared" si="28"/>
        <v>1.1205797946546063</v>
      </c>
      <c r="E94" s="22">
        <f t="shared" si="29"/>
        <v>2221.5779520000001</v>
      </c>
      <c r="F94" s="22">
        <f>'On-Level &amp; Cred'!G31*$C$87/'On-Level &amp; Cred'!H31</f>
        <v>2227.2921346775806</v>
      </c>
      <c r="G94" s="22">
        <f t="shared" si="30"/>
        <v>2221.8742044261485</v>
      </c>
      <c r="H94" s="42">
        <f t="shared" si="31"/>
        <v>2235.4660858008983</v>
      </c>
      <c r="I94" s="42">
        <f t="shared" si="32"/>
        <v>2241.8692834523604</v>
      </c>
      <c r="J94" s="42">
        <f t="shared" si="33"/>
        <v>2235.7980602837574</v>
      </c>
      <c r="K94" s="22">
        <f t="shared" si="34"/>
        <v>129.06608580089824</v>
      </c>
      <c r="L94" s="22">
        <f t="shared" si="35"/>
        <v>135.46928345236029</v>
      </c>
      <c r="M94" s="22">
        <f t="shared" si="36"/>
        <v>129.39806028375733</v>
      </c>
      <c r="N94" s="1"/>
    </row>
    <row r="95" spans="1:14" x14ac:dyDescent="0.3">
      <c r="A95" s="1"/>
      <c r="B95" s="46">
        <v>2022</v>
      </c>
      <c r="C95" s="22">
        <f t="shared" si="27"/>
        <v>2119.6</v>
      </c>
      <c r="D95" s="38">
        <f t="shared" si="28"/>
        <v>1.0914111818180119</v>
      </c>
      <c r="E95" s="22">
        <f t="shared" si="29"/>
        <v>2415.0220759192266</v>
      </c>
      <c r="F95" s="22">
        <f>'On-Level &amp; Cred'!G32*$C$87/'On-Level &amp; Cred'!H32</f>
        <v>2374.0734992361254</v>
      </c>
      <c r="G95" s="22">
        <f t="shared" si="30"/>
        <v>2410.0129649672886</v>
      </c>
      <c r="H95" s="42">
        <f t="shared" si="31"/>
        <v>2442.0269570141336</v>
      </c>
      <c r="I95" s="42">
        <f t="shared" si="32"/>
        <v>2397.3352225426647</v>
      </c>
      <c r="J95" s="42">
        <f t="shared" si="33"/>
        <v>2436.5599573102213</v>
      </c>
      <c r="K95" s="22">
        <f t="shared" si="34"/>
        <v>322.42695701413368</v>
      </c>
      <c r="L95" s="22">
        <f t="shared" si="35"/>
        <v>277.73522254266481</v>
      </c>
      <c r="M95" s="22">
        <f t="shared" si="36"/>
        <v>316.9599573102214</v>
      </c>
      <c r="N95" s="1"/>
    </row>
    <row r="96" spans="1:14" x14ac:dyDescent="0.3">
      <c r="A96" s="1"/>
      <c r="B96" s="46">
        <v>2023</v>
      </c>
      <c r="C96" s="22">
        <f t="shared" si="27"/>
        <v>1982.1</v>
      </c>
      <c r="D96" s="38">
        <f t="shared" si="28"/>
        <v>1.0941591308840379</v>
      </c>
      <c r="E96" s="22">
        <f t="shared" si="29"/>
        <v>2511.4530883559692</v>
      </c>
      <c r="F96" s="22">
        <f>'On-Level &amp; Cred'!G33*$C$87/'On-Level &amp; Cred'!H33</f>
        <v>2494.3139553078377</v>
      </c>
      <c r="G96" s="22">
        <f t="shared" si="30"/>
        <v>2507.8405769167402</v>
      </c>
      <c r="H96" s="42">
        <f t="shared" si="31"/>
        <v>2561.2965150863483</v>
      </c>
      <c r="I96" s="42">
        <f t="shared" si="32"/>
        <v>2542.5435761662993</v>
      </c>
      <c r="J96" s="42">
        <f t="shared" si="33"/>
        <v>2557.3438527096932</v>
      </c>
      <c r="K96" s="22">
        <f t="shared" si="34"/>
        <v>579.19651508634843</v>
      </c>
      <c r="L96" s="22">
        <f t="shared" si="35"/>
        <v>560.44357616629941</v>
      </c>
      <c r="M96" s="22">
        <f t="shared" si="36"/>
        <v>575.24385270969333</v>
      </c>
      <c r="N96" s="1"/>
    </row>
    <row r="97" spans="1:14" x14ac:dyDescent="0.3">
      <c r="A97" s="1"/>
      <c r="B97" s="46">
        <v>2024</v>
      </c>
      <c r="C97" s="22">
        <f t="shared" si="27"/>
        <v>1694.4</v>
      </c>
      <c r="D97" s="38">
        <f t="shared" si="28"/>
        <v>1.0928065592569356</v>
      </c>
      <c r="E97" s="22">
        <f t="shared" si="29"/>
        <v>2745.9640860345676</v>
      </c>
      <c r="F97" s="22">
        <f>'On-Level &amp; Cred'!G34*$C$87/'On-Level &amp; Cred'!H34</f>
        <v>2655.6434359034356</v>
      </c>
      <c r="G97" s="22">
        <f t="shared" si="30"/>
        <v>2711.3758871618179</v>
      </c>
      <c r="H97" s="42">
        <f t="shared" si="31"/>
        <v>2843.5561306975997</v>
      </c>
      <c r="I97" s="42">
        <f t="shared" si="32"/>
        <v>2744.8531317979482</v>
      </c>
      <c r="J97" s="42">
        <f t="shared" si="33"/>
        <v>2805.7579200965756</v>
      </c>
      <c r="K97" s="22">
        <f t="shared" si="34"/>
        <v>1149.1561306975996</v>
      </c>
      <c r="L97" s="22">
        <f t="shared" si="35"/>
        <v>1050.4531317979481</v>
      </c>
      <c r="M97" s="22">
        <f t="shared" si="36"/>
        <v>1111.3579200965755</v>
      </c>
      <c r="N97" s="1"/>
    </row>
    <row r="98" spans="1:14" x14ac:dyDescent="0.3">
      <c r="A98" s="1"/>
      <c r="B98" s="46">
        <v>2025</v>
      </c>
      <c r="C98" s="22">
        <f t="shared" si="27"/>
        <v>907</v>
      </c>
      <c r="D98" s="38">
        <f t="shared" si="28"/>
        <v>1.0935088598365077</v>
      </c>
      <c r="E98" s="22">
        <f t="shared" si="29"/>
        <v>2811.6384258886269</v>
      </c>
      <c r="F98" s="22">
        <f>'On-Level &amp; Cred'!G35*$C$87/'On-Level &amp; Cred'!H35</f>
        <v>2889.9697690285761</v>
      </c>
      <c r="G98" s="22">
        <f t="shared" si="30"/>
        <v>2864.7010404560251</v>
      </c>
      <c r="H98" s="42">
        <f t="shared" si="31"/>
        <v>2989.738993494273</v>
      </c>
      <c r="I98" s="42">
        <f t="shared" si="32"/>
        <v>3075.3950112207012</v>
      </c>
      <c r="J98" s="42">
        <f t="shared" si="33"/>
        <v>3047.7634326498128</v>
      </c>
      <c r="K98" s="22">
        <f t="shared" si="34"/>
        <v>2082.738993494273</v>
      </c>
      <c r="L98" s="22">
        <f t="shared" si="35"/>
        <v>2168.3950112207012</v>
      </c>
      <c r="M98" s="22">
        <f t="shared" si="36"/>
        <v>2140.7634326498128</v>
      </c>
      <c r="N98" s="1"/>
    </row>
    <row r="99" spans="1:14" x14ac:dyDescent="0.3">
      <c r="A99" s="1"/>
      <c r="B99" s="43" t="s">
        <v>218</v>
      </c>
      <c r="C99" s="42">
        <f>SUM(C93:C98)</f>
        <v>10660.8</v>
      </c>
      <c r="D99" s="1"/>
      <c r="E99" s="1"/>
      <c r="F99" s="1"/>
      <c r="G99" s="1"/>
      <c r="H99" s="42">
        <f t="shared" ref="H99:M99" si="37">SUM(H93:H98)</f>
        <v>14994.188346682053</v>
      </c>
      <c r="I99" s="42">
        <f t="shared" si="37"/>
        <v>14979.387812877816</v>
      </c>
      <c r="J99" s="42">
        <f t="shared" si="37"/>
        <v>15007.144865768172</v>
      </c>
      <c r="K99" s="42">
        <f t="shared" si="37"/>
        <v>4333.3883466820535</v>
      </c>
      <c r="L99" s="42">
        <f t="shared" si="37"/>
        <v>4318.5878128778168</v>
      </c>
      <c r="M99" s="42">
        <f t="shared" si="37"/>
        <v>4346.3448657681711</v>
      </c>
      <c r="N99" s="1"/>
    </row>
    <row r="100" spans="1:14" x14ac:dyDescent="0.3">
      <c r="A100" s="1"/>
      <c r="B100" s="6" t="s">
        <v>300</v>
      </c>
      <c r="C100" s="1"/>
      <c r="D100" s="1"/>
      <c r="E100" s="1"/>
      <c r="F100" s="1"/>
      <c r="G100" s="1"/>
      <c r="H100" s="39" t="str">
        <f>IF(SUMPRODUCT(--(H93:H98&lt;'S1 Chain Ladder'!F20:F25-0.001))+SUMPRODUCT(--(I93:I98&lt;'S2 Expected Claims'!F21:F26-0.001))+SUMPRODUCT(--(J93:J98&lt;'S3 BF'!G21:G26-0.001))=0,"OK","REVIEW")</f>
        <v>OK</v>
      </c>
      <c r="I100" s="1"/>
      <c r="J100" s="1"/>
      <c r="K100" s="1"/>
      <c r="L100" s="1"/>
      <c r="M100" s="1"/>
      <c r="N100" s="1"/>
    </row>
    <row r="101" spans="1:14" x14ac:dyDescent="0.3">
      <c r="A101" s="1"/>
      <c r="B101" s="1"/>
      <c r="C101" s="1"/>
      <c r="D101" s="1"/>
      <c r="E101" s="1"/>
      <c r="F101" s="1"/>
      <c r="G101" s="1"/>
      <c r="H101" s="1"/>
      <c r="I101" s="1"/>
      <c r="J101" s="1"/>
      <c r="K101" s="1"/>
      <c r="L101" s="1"/>
      <c r="M101" s="1"/>
      <c r="N101" s="1"/>
    </row>
    <row r="102" spans="1:14" x14ac:dyDescent="0.3">
      <c r="A102" s="1"/>
      <c r="B102" s="1"/>
      <c r="C102" s="1"/>
      <c r="D102" s="1"/>
      <c r="E102" s="1"/>
      <c r="F102" s="1"/>
      <c r="G102" s="1"/>
      <c r="H102" s="1"/>
      <c r="I102" s="1"/>
      <c r="J102" s="1"/>
      <c r="K102" s="1"/>
      <c r="L102" s="1"/>
      <c r="M102" s="1"/>
      <c r="N102" s="1"/>
    </row>
    <row r="103" spans="1:14" x14ac:dyDescent="0.3">
      <c r="A103" s="1"/>
      <c r="B103" s="1"/>
      <c r="C103" s="1"/>
      <c r="D103" s="1"/>
      <c r="E103" s="1"/>
      <c r="F103" s="1"/>
      <c r="G103" s="1"/>
      <c r="H103" s="1"/>
      <c r="I103" s="1"/>
      <c r="J103" s="1"/>
      <c r="K103" s="1"/>
      <c r="L103" s="1"/>
      <c r="M103" s="1"/>
      <c r="N103" s="1"/>
    </row>
    <row r="104" spans="1:14" x14ac:dyDescent="0.3">
      <c r="A104" s="1"/>
      <c r="B104" s="3" t="s">
        <v>70</v>
      </c>
      <c r="C104" s="1"/>
      <c r="D104" s="1"/>
      <c r="E104" s="1"/>
      <c r="F104" s="1"/>
      <c r="G104" s="1"/>
      <c r="H104" s="1"/>
      <c r="I104" s="1"/>
      <c r="J104" s="1"/>
      <c r="K104" s="1"/>
      <c r="L104" s="1"/>
      <c r="M104" s="1"/>
      <c r="N104" s="1"/>
    </row>
    <row r="105" spans="1:14" x14ac:dyDescent="0.3">
      <c r="A105" s="1"/>
      <c r="B105" s="5" t="s">
        <v>261</v>
      </c>
      <c r="C105" s="1"/>
      <c r="D105" s="1"/>
      <c r="E105" s="1"/>
      <c r="F105" s="1"/>
      <c r="G105" s="1"/>
      <c r="H105" s="1"/>
      <c r="I105" s="1"/>
      <c r="J105" s="1"/>
      <c r="K105" s="1"/>
      <c r="L105" s="1"/>
      <c r="M105" s="1"/>
      <c r="N105" s="1"/>
    </row>
    <row r="106" spans="1:14" ht="26.4" x14ac:dyDescent="0.3">
      <c r="A106" s="1"/>
      <c r="B106" s="13" t="s">
        <v>206</v>
      </c>
      <c r="C106" s="13" t="s">
        <v>100</v>
      </c>
      <c r="D106" s="13" t="s">
        <v>101</v>
      </c>
      <c r="E106" s="13" t="s">
        <v>102</v>
      </c>
      <c r="F106" s="13" t="s">
        <v>103</v>
      </c>
      <c r="G106" s="13" t="s">
        <v>104</v>
      </c>
      <c r="H106" s="13" t="s">
        <v>105</v>
      </c>
      <c r="I106" s="13" t="s">
        <v>262</v>
      </c>
      <c r="J106" s="1"/>
      <c r="K106" s="1"/>
      <c r="L106" s="1"/>
      <c r="M106" s="1"/>
      <c r="N106" s="1"/>
    </row>
    <row r="107" spans="1:14" x14ac:dyDescent="0.3">
      <c r="A107" s="1"/>
      <c r="B107" s="6" t="s">
        <v>263</v>
      </c>
      <c r="C107" s="41">
        <f>'Dev Factors'!C45</f>
        <v>3.8476142368038424</v>
      </c>
      <c r="D107" s="41">
        <f>'Dev Factors'!D45</f>
        <v>1.8388039597929995</v>
      </c>
      <c r="E107" s="41">
        <f>'Dev Factors'!E45</f>
        <v>1.3708526294623349</v>
      </c>
      <c r="F107" s="41">
        <f>'Dev Factors'!F45</f>
        <v>1.119343418068542</v>
      </c>
      <c r="G107" s="41">
        <f>'Dev Factors'!G45</f>
        <v>1.0471971649484537</v>
      </c>
      <c r="H107" s="41">
        <f>'Dev Factors'!H45</f>
        <v>1</v>
      </c>
      <c r="I107" s="1"/>
      <c r="J107" s="1"/>
      <c r="K107" s="1"/>
      <c r="L107" s="1"/>
      <c r="M107" s="1"/>
      <c r="N107" s="1"/>
    </row>
    <row r="108" spans="1:14" x14ac:dyDescent="0.3">
      <c r="A108" s="1"/>
      <c r="B108" s="6" t="s">
        <v>264</v>
      </c>
      <c r="C108" s="53">
        <f>INDEX(Ext_tail,3)</f>
        <v>1.0549999999999999</v>
      </c>
      <c r="D108" s="1"/>
      <c r="E108" s="1"/>
      <c r="F108" s="1"/>
      <c r="G108" s="1"/>
      <c r="H108" s="1"/>
      <c r="I108" s="1"/>
      <c r="J108" s="1"/>
      <c r="K108" s="1"/>
      <c r="L108" s="1"/>
      <c r="M108" s="1"/>
      <c r="N108" s="1"/>
    </row>
    <row r="109" spans="1:14" x14ac:dyDescent="0.3">
      <c r="A109" s="1"/>
      <c r="B109" s="7" t="s">
        <v>265</v>
      </c>
      <c r="C109" s="28">
        <f t="shared" ref="C109:H109" si="38">C107*$C$108</f>
        <v>4.0592330198280537</v>
      </c>
      <c r="D109" s="28">
        <f t="shared" si="38"/>
        <v>1.9399381775816142</v>
      </c>
      <c r="E109" s="28">
        <f t="shared" si="38"/>
        <v>1.4462495240827633</v>
      </c>
      <c r="F109" s="28">
        <f t="shared" si="38"/>
        <v>1.1809073060623116</v>
      </c>
      <c r="G109" s="28">
        <f t="shared" si="38"/>
        <v>1.1047930090206186</v>
      </c>
      <c r="H109" s="28">
        <f t="shared" si="38"/>
        <v>1.0549999999999999</v>
      </c>
      <c r="I109" s="1"/>
      <c r="J109" s="1"/>
      <c r="K109" s="1"/>
      <c r="L109" s="1"/>
      <c r="M109" s="1"/>
      <c r="N109" s="1"/>
    </row>
    <row r="110" spans="1:14" x14ac:dyDescent="0.3">
      <c r="A110" s="1"/>
      <c r="B110" s="6" t="s">
        <v>266</v>
      </c>
      <c r="C110" s="52">
        <f t="shared" ref="C110:H110" si="39">1/C109</f>
        <v>0.24635195740557889</v>
      </c>
      <c r="D110" s="52">
        <f t="shared" si="39"/>
        <v>0.51548034445439406</v>
      </c>
      <c r="E110" s="52">
        <f t="shared" si="39"/>
        <v>0.69144361560583223</v>
      </c>
      <c r="F110" s="52">
        <f t="shared" si="39"/>
        <v>0.8468065146742636</v>
      </c>
      <c r="G110" s="52">
        <f t="shared" si="39"/>
        <v>0.90514692963751109</v>
      </c>
      <c r="H110" s="52">
        <f t="shared" si="39"/>
        <v>0.94786729857819907</v>
      </c>
      <c r="I110" s="1"/>
      <c r="J110" s="1"/>
      <c r="K110" s="1"/>
      <c r="L110" s="1"/>
      <c r="M110" s="1"/>
      <c r="N110" s="1"/>
    </row>
    <row r="111" spans="1:14" x14ac:dyDescent="0.3">
      <c r="A111" s="1"/>
      <c r="B111" s="6" t="s">
        <v>267</v>
      </c>
      <c r="C111" s="1"/>
      <c r="D111" s="52">
        <f>D110-C110</f>
        <v>0.26912838704881514</v>
      </c>
      <c r="E111" s="52">
        <f>E110-D110</f>
        <v>0.17596327115143817</v>
      </c>
      <c r="F111" s="52">
        <f>F110-E110</f>
        <v>0.15536289906843137</v>
      </c>
      <c r="G111" s="52">
        <f>G110-F110</f>
        <v>5.8340414963247489E-2</v>
      </c>
      <c r="H111" s="52">
        <f>H110-G110</f>
        <v>4.2720368940687981E-2</v>
      </c>
      <c r="I111" s="52">
        <f>1-H110</f>
        <v>5.2132701421800931E-2</v>
      </c>
      <c r="J111" s="1"/>
      <c r="K111" s="1"/>
      <c r="L111" s="1"/>
      <c r="M111" s="1"/>
      <c r="N111" s="1"/>
    </row>
    <row r="112" spans="1:14" x14ac:dyDescent="0.3">
      <c r="A112" s="1"/>
      <c r="B112" s="1"/>
      <c r="C112" s="1"/>
      <c r="D112" s="1"/>
      <c r="E112" s="1"/>
      <c r="F112" s="1"/>
      <c r="G112" s="1"/>
      <c r="H112" s="1"/>
      <c r="I112" s="1"/>
      <c r="J112" s="1"/>
      <c r="K112" s="1"/>
      <c r="L112" s="1"/>
      <c r="M112" s="1"/>
      <c r="N112" s="1"/>
    </row>
    <row r="113" spans="1:14" x14ac:dyDescent="0.3">
      <c r="A113" s="1"/>
      <c r="B113" s="5" t="s">
        <v>268</v>
      </c>
      <c r="C113" s="1"/>
      <c r="D113" s="1"/>
      <c r="E113" s="1"/>
      <c r="F113" s="1"/>
      <c r="G113" s="1"/>
      <c r="H113" s="1"/>
      <c r="I113" s="1"/>
      <c r="J113" s="1"/>
      <c r="K113" s="1"/>
      <c r="L113" s="1"/>
      <c r="M113" s="1"/>
      <c r="N113" s="1"/>
    </row>
    <row r="114" spans="1:14" x14ac:dyDescent="0.3">
      <c r="A114" s="1"/>
      <c r="B114" s="4" t="s">
        <v>269</v>
      </c>
      <c r="C114" s="1"/>
      <c r="D114" s="1"/>
      <c r="E114" s="1"/>
      <c r="F114" s="1"/>
      <c r="G114" s="1"/>
      <c r="H114" s="1"/>
      <c r="I114" s="1"/>
      <c r="J114" s="1"/>
      <c r="K114" s="1"/>
      <c r="L114" s="1"/>
      <c r="M114" s="1"/>
      <c r="N114" s="1"/>
    </row>
    <row r="115" spans="1:14" ht="26.4" x14ac:dyDescent="0.3">
      <c r="A115" s="1"/>
      <c r="B115" s="13" t="s">
        <v>55</v>
      </c>
      <c r="C115" s="13" t="s">
        <v>270</v>
      </c>
      <c r="D115" s="13" t="s">
        <v>217</v>
      </c>
      <c r="E115" s="13" t="s">
        <v>271</v>
      </c>
      <c r="F115" s="13" t="s">
        <v>272</v>
      </c>
      <c r="G115" s="13" t="s">
        <v>273</v>
      </c>
      <c r="H115" s="13" t="s">
        <v>274</v>
      </c>
      <c r="I115" s="13" t="s">
        <v>275</v>
      </c>
      <c r="J115" s="13" t="s">
        <v>276</v>
      </c>
      <c r="K115" s="13" t="s">
        <v>277</v>
      </c>
      <c r="L115" s="13" t="s">
        <v>278</v>
      </c>
      <c r="M115" s="13" t="s">
        <v>279</v>
      </c>
      <c r="N115" s="13" t="s">
        <v>280</v>
      </c>
    </row>
    <row r="116" spans="1:14" x14ac:dyDescent="0.3">
      <c r="A116" s="1"/>
      <c r="B116" s="46">
        <v>2020</v>
      </c>
      <c r="C116" s="40">
        <v>72</v>
      </c>
      <c r="D116" s="54">
        <f>H$110</f>
        <v>0.94786729857819907</v>
      </c>
      <c r="E116" s="52">
        <f t="shared" ref="E116:E121" si="40">1-D116</f>
        <v>5.2132701421800931E-2</v>
      </c>
      <c r="F116" s="38">
        <v>0</v>
      </c>
      <c r="G116" s="38">
        <v>0</v>
      </c>
      <c r="H116" s="38">
        <v>0</v>
      </c>
      <c r="I116" s="38">
        <v>0</v>
      </c>
      <c r="J116" s="38">
        <v>0</v>
      </c>
      <c r="K116" s="38">
        <f>$I$111*(0+Ext_taillag)</f>
        <v>0.15639810426540279</v>
      </c>
      <c r="L116" s="38">
        <f t="shared" ref="L116:L121" si="41">SUM(F116:K116)</f>
        <v>0.15639810426540279</v>
      </c>
      <c r="M116" s="55">
        <f t="shared" ref="M116:M121" si="42">L116/E116</f>
        <v>3</v>
      </c>
      <c r="N116" s="28">
        <f t="shared" ref="N116:N121" si="43">(1+Ext_shock)^M116</f>
        <v>1.1248640000000001</v>
      </c>
    </row>
    <row r="117" spans="1:14" x14ac:dyDescent="0.3">
      <c r="A117" s="1"/>
      <c r="B117" s="46">
        <v>2021</v>
      </c>
      <c r="C117" s="40">
        <v>60</v>
      </c>
      <c r="D117" s="54">
        <f>G$110</f>
        <v>0.90514692963751109</v>
      </c>
      <c r="E117" s="52">
        <f t="shared" si="40"/>
        <v>9.4853070362488912E-2</v>
      </c>
      <c r="F117" s="38">
        <v>0</v>
      </c>
      <c r="G117" s="38">
        <v>0</v>
      </c>
      <c r="H117" s="38">
        <v>0</v>
      </c>
      <c r="I117" s="38">
        <v>0</v>
      </c>
      <c r="J117" s="38">
        <f>H$111*1</f>
        <v>4.2720368940687981E-2</v>
      </c>
      <c r="K117" s="38">
        <f>$I$111*(1+Ext_taillag)</f>
        <v>0.20853080568720372</v>
      </c>
      <c r="L117" s="38">
        <f t="shared" si="41"/>
        <v>0.2512511746278917</v>
      </c>
      <c r="M117" s="55">
        <f t="shared" si="42"/>
        <v>2.6488459853509685</v>
      </c>
      <c r="N117" s="28">
        <f t="shared" si="43"/>
        <v>1.1094779934945114</v>
      </c>
    </row>
    <row r="118" spans="1:14" x14ac:dyDescent="0.3">
      <c r="A118" s="1"/>
      <c r="B118" s="46">
        <v>2022</v>
      </c>
      <c r="C118" s="40">
        <v>48</v>
      </c>
      <c r="D118" s="54">
        <f>F$110</f>
        <v>0.8468065146742636</v>
      </c>
      <c r="E118" s="52">
        <f t="shared" si="40"/>
        <v>0.1531934853257364</v>
      </c>
      <c r="F118" s="38">
        <v>0</v>
      </c>
      <c r="G118" s="38">
        <v>0</v>
      </c>
      <c r="H118" s="38">
        <v>0</v>
      </c>
      <c r="I118" s="38">
        <f>G$111*1</f>
        <v>5.8340414963247489E-2</v>
      </c>
      <c r="J118" s="38">
        <f>H$111*2</f>
        <v>8.5440737881375961E-2</v>
      </c>
      <c r="K118" s="38">
        <f>$I$111*(2+Ext_taillag)</f>
        <v>0.26066350710900466</v>
      </c>
      <c r="L118" s="38">
        <f t="shared" si="41"/>
        <v>0.40444465995362811</v>
      </c>
      <c r="M118" s="55">
        <f t="shared" si="42"/>
        <v>2.6400904652939681</v>
      </c>
      <c r="N118" s="28">
        <f t="shared" si="43"/>
        <v>1.1090970666666788</v>
      </c>
    </row>
    <row r="119" spans="1:14" x14ac:dyDescent="0.3">
      <c r="A119" s="1"/>
      <c r="B119" s="46">
        <v>2023</v>
      </c>
      <c r="C119" s="40">
        <v>36</v>
      </c>
      <c r="D119" s="54">
        <f>E$110</f>
        <v>0.69144361560583223</v>
      </c>
      <c r="E119" s="52">
        <f t="shared" si="40"/>
        <v>0.30855638439416777</v>
      </c>
      <c r="F119" s="38">
        <v>0</v>
      </c>
      <c r="G119" s="38">
        <v>0</v>
      </c>
      <c r="H119" s="38">
        <f>F$111*1</f>
        <v>0.15536289906843137</v>
      </c>
      <c r="I119" s="38">
        <f>G$111*2</f>
        <v>0.11668082992649498</v>
      </c>
      <c r="J119" s="38">
        <f>H$111*3</f>
        <v>0.12816110682206394</v>
      </c>
      <c r="K119" s="38">
        <f>$I$111*(3+Ext_taillag)</f>
        <v>0.31279620853080559</v>
      </c>
      <c r="L119" s="38">
        <f t="shared" si="41"/>
        <v>0.71300104434779588</v>
      </c>
      <c r="M119" s="55">
        <f t="shared" si="42"/>
        <v>2.3107641922487887</v>
      </c>
      <c r="N119" s="28">
        <f t="shared" si="43"/>
        <v>1.0948636331192518</v>
      </c>
    </row>
    <row r="120" spans="1:14" x14ac:dyDescent="0.3">
      <c r="A120" s="1"/>
      <c r="B120" s="46">
        <v>2024</v>
      </c>
      <c r="C120" s="40">
        <v>24</v>
      </c>
      <c r="D120" s="54">
        <f>D$110</f>
        <v>0.51548034445439406</v>
      </c>
      <c r="E120" s="52">
        <f t="shared" si="40"/>
        <v>0.48451965554560594</v>
      </c>
      <c r="F120" s="38">
        <v>0</v>
      </c>
      <c r="G120" s="38">
        <f>E$111*1</f>
        <v>0.17596327115143817</v>
      </c>
      <c r="H120" s="38">
        <f>F$111*2</f>
        <v>0.31072579813686274</v>
      </c>
      <c r="I120" s="38">
        <f>G$111*3</f>
        <v>0.17502124488974247</v>
      </c>
      <c r="J120" s="38">
        <f>H$111*4</f>
        <v>0.17088147576275192</v>
      </c>
      <c r="K120" s="38">
        <f>$I$111*(4+Ext_taillag)</f>
        <v>0.36492890995260652</v>
      </c>
      <c r="L120" s="38">
        <f t="shared" si="41"/>
        <v>1.1975206998934018</v>
      </c>
      <c r="M120" s="55">
        <f t="shared" si="42"/>
        <v>2.4715626831380093</v>
      </c>
      <c r="N120" s="28">
        <f t="shared" si="43"/>
        <v>1.1017903537603435</v>
      </c>
    </row>
    <row r="121" spans="1:14" x14ac:dyDescent="0.3">
      <c r="A121" s="1"/>
      <c r="B121" s="46">
        <v>2025</v>
      </c>
      <c r="C121" s="40">
        <v>12</v>
      </c>
      <c r="D121" s="54">
        <f>C$110</f>
        <v>0.24635195740557889</v>
      </c>
      <c r="E121" s="52">
        <f t="shared" si="40"/>
        <v>0.75364804259442109</v>
      </c>
      <c r="F121" s="38">
        <f>D$111*1</f>
        <v>0.26912838704881514</v>
      </c>
      <c r="G121" s="38">
        <f>E$111*2</f>
        <v>0.35192654230287634</v>
      </c>
      <c r="H121" s="38">
        <f>F$111*3</f>
        <v>0.46608869720529411</v>
      </c>
      <c r="I121" s="38">
        <f>G$111*4</f>
        <v>0.23336165985298996</v>
      </c>
      <c r="J121" s="38">
        <f>H$111*5</f>
        <v>0.2136018447034399</v>
      </c>
      <c r="K121" s="38">
        <f>$I$111*(5+Ext_taillag)</f>
        <v>0.41706161137440745</v>
      </c>
      <c r="L121" s="38">
        <f t="shared" si="41"/>
        <v>1.9511687424878228</v>
      </c>
      <c r="M121" s="55">
        <f t="shared" si="42"/>
        <v>2.5889654483423805</v>
      </c>
      <c r="N121" s="28">
        <f t="shared" si="43"/>
        <v>1.1068753781730201</v>
      </c>
    </row>
    <row r="122" spans="1:14" x14ac:dyDescent="0.3">
      <c r="A122" s="1"/>
      <c r="B122" s="1"/>
      <c r="C122" s="1"/>
      <c r="D122" s="1"/>
      <c r="E122" s="1"/>
      <c r="F122" s="1"/>
      <c r="G122" s="1"/>
      <c r="H122" s="1"/>
      <c r="I122" s="1"/>
      <c r="J122" s="1"/>
      <c r="K122" s="1"/>
      <c r="L122" s="1"/>
      <c r="M122" s="1"/>
      <c r="N122" s="1"/>
    </row>
    <row r="123" spans="1:14" x14ac:dyDescent="0.3">
      <c r="A123" s="1"/>
      <c r="B123" s="1"/>
      <c r="C123" s="1"/>
      <c r="D123" s="1"/>
      <c r="E123" s="1"/>
      <c r="F123" s="1"/>
      <c r="G123" s="1"/>
      <c r="H123" s="1"/>
      <c r="I123" s="1"/>
      <c r="J123" s="1"/>
      <c r="K123" s="1"/>
      <c r="L123" s="1"/>
      <c r="M123" s="1"/>
      <c r="N123" s="1"/>
    </row>
    <row r="124" spans="1:14" x14ac:dyDescent="0.3">
      <c r="A124" s="1"/>
      <c r="B124" s="5" t="s">
        <v>281</v>
      </c>
      <c r="C124" s="1"/>
      <c r="D124" s="1"/>
      <c r="E124" s="1"/>
      <c r="F124" s="1"/>
      <c r="G124" s="1"/>
      <c r="H124" s="1"/>
      <c r="I124" s="1"/>
      <c r="J124" s="1"/>
      <c r="K124" s="1"/>
      <c r="L124" s="1"/>
      <c r="M124" s="1"/>
      <c r="N124" s="1"/>
    </row>
    <row r="125" spans="1:14" ht="39.6" x14ac:dyDescent="0.3">
      <c r="A125" s="1"/>
      <c r="B125" s="13" t="s">
        <v>55</v>
      </c>
      <c r="C125" s="13" t="s">
        <v>213</v>
      </c>
      <c r="D125" s="13" t="s">
        <v>282</v>
      </c>
      <c r="E125" s="13" t="s">
        <v>283</v>
      </c>
      <c r="F125" s="13" t="s">
        <v>228</v>
      </c>
      <c r="G125" s="13" t="s">
        <v>230</v>
      </c>
      <c r="H125" s="13" t="s">
        <v>227</v>
      </c>
      <c r="I125" s="13" t="s">
        <v>284</v>
      </c>
      <c r="J125" s="1"/>
      <c r="K125" s="1"/>
      <c r="L125" s="1"/>
      <c r="M125" s="1"/>
      <c r="N125" s="1"/>
    </row>
    <row r="126" spans="1:14" x14ac:dyDescent="0.3">
      <c r="A126" s="1"/>
      <c r="B126" s="46">
        <v>2020</v>
      </c>
      <c r="C126" s="20">
        <f>'S1 Chain Ladder'!D33</f>
        <v>1300.2</v>
      </c>
      <c r="D126" s="41">
        <f>H$109</f>
        <v>1.0549999999999999</v>
      </c>
      <c r="E126" s="23">
        <f t="shared" ref="E126:E131" si="44">C126*D126</f>
        <v>1371.711</v>
      </c>
      <c r="F126" s="41">
        <f>'On-Level &amp; Cred'!H52</f>
        <v>1.3069600064093747</v>
      </c>
      <c r="G126" s="22">
        <f t="shared" ref="G126:G131" si="45">E126*F126</f>
        <v>1792.7714173518098</v>
      </c>
      <c r="H126" s="20">
        <f>'On-Level &amp; Cred'!G52</f>
        <v>2200.9499820000001</v>
      </c>
      <c r="I126" s="56">
        <f>'On-Level &amp; Cred'!K52</f>
        <v>1</v>
      </c>
      <c r="J126" s="1"/>
      <c r="K126" s="1"/>
      <c r="L126" s="1"/>
      <c r="M126" s="1"/>
      <c r="N126" s="1"/>
    </row>
    <row r="127" spans="1:14" x14ac:dyDescent="0.3">
      <c r="A127" s="1"/>
      <c r="B127" s="46">
        <v>2021</v>
      </c>
      <c r="C127" s="20">
        <f>'S1 Chain Ladder'!D34</f>
        <v>1409.9</v>
      </c>
      <c r="D127" s="41">
        <f>G$109</f>
        <v>1.1047930090206186</v>
      </c>
      <c r="E127" s="23">
        <f t="shared" si="44"/>
        <v>1557.6476634181702</v>
      </c>
      <c r="F127" s="41">
        <f>'On-Level &amp; Cred'!H53</f>
        <v>1.2388246506249998</v>
      </c>
      <c r="G127" s="22">
        <f t="shared" si="45"/>
        <v>1929.6523224308619</v>
      </c>
      <c r="H127" s="20">
        <f>'On-Level &amp; Cred'!G53</f>
        <v>2395.0773000000004</v>
      </c>
      <c r="I127" s="56">
        <f>'On-Level &amp; Cred'!K53</f>
        <v>1</v>
      </c>
      <c r="J127" s="1"/>
      <c r="K127" s="1"/>
      <c r="L127" s="1"/>
      <c r="M127" s="1"/>
      <c r="N127" s="1"/>
    </row>
    <row r="128" spans="1:14" x14ac:dyDescent="0.3">
      <c r="A128" s="1"/>
      <c r="B128" s="46">
        <v>2022</v>
      </c>
      <c r="C128" s="20">
        <f>'S1 Chain Ladder'!D35</f>
        <v>1598</v>
      </c>
      <c r="D128" s="41">
        <f>F$109</f>
        <v>1.1809073060623116</v>
      </c>
      <c r="E128" s="23">
        <f t="shared" si="44"/>
        <v>1887.089875087574</v>
      </c>
      <c r="F128" s="41">
        <f>'On-Level &amp; Cred'!H54</f>
        <v>1.1742413749999998</v>
      </c>
      <c r="G128" s="22">
        <f t="shared" si="45"/>
        <v>2215.8990096714106</v>
      </c>
      <c r="H128" s="20">
        <f>'On-Level &amp; Cred'!G54</f>
        <v>2471.7000000000003</v>
      </c>
      <c r="I128" s="56">
        <f>'On-Level &amp; Cred'!K54</f>
        <v>1</v>
      </c>
      <c r="J128" s="1"/>
      <c r="K128" s="1"/>
      <c r="L128" s="1"/>
      <c r="M128" s="1"/>
      <c r="N128" s="1"/>
    </row>
    <row r="129" spans="1:14" x14ac:dyDescent="0.3">
      <c r="A129" s="1"/>
      <c r="B129" s="46">
        <v>2023</v>
      </c>
      <c r="C129" s="20">
        <f>'S1 Chain Ladder'!D36</f>
        <v>1260.0999999999999</v>
      </c>
      <c r="D129" s="41">
        <f>E$109</f>
        <v>1.4462495240827633</v>
      </c>
      <c r="E129" s="23">
        <f t="shared" si="44"/>
        <v>1822.4190252966898</v>
      </c>
      <c r="F129" s="41">
        <f>'On-Level &amp; Cred'!H55</f>
        <v>1.1130249999999999</v>
      </c>
      <c r="G129" s="22">
        <f t="shared" si="45"/>
        <v>2028.397935630848</v>
      </c>
      <c r="H129" s="20">
        <f>'On-Level &amp; Cred'!G55</f>
        <v>2483.2500000000005</v>
      </c>
      <c r="I129" s="56">
        <f>'On-Level &amp; Cred'!K55</f>
        <v>0</v>
      </c>
      <c r="J129" s="1"/>
      <c r="K129" s="1"/>
      <c r="L129" s="1"/>
      <c r="M129" s="1"/>
      <c r="N129" s="1"/>
    </row>
    <row r="130" spans="1:14" x14ac:dyDescent="0.3">
      <c r="A130" s="1"/>
      <c r="B130" s="46">
        <v>2024</v>
      </c>
      <c r="C130" s="20">
        <f>'S1 Chain Ladder'!D37</f>
        <v>991.2</v>
      </c>
      <c r="D130" s="41">
        <f>D$109</f>
        <v>1.9399381775816142</v>
      </c>
      <c r="E130" s="23">
        <f t="shared" si="44"/>
        <v>1922.8667216188962</v>
      </c>
      <c r="F130" s="41">
        <f>'On-Level &amp; Cred'!H56</f>
        <v>1.0549999999999999</v>
      </c>
      <c r="G130" s="22">
        <f t="shared" si="45"/>
        <v>2028.6243913079354</v>
      </c>
      <c r="H130" s="20">
        <f>'On-Level &amp; Cred'!G56</f>
        <v>2520</v>
      </c>
      <c r="I130" s="56">
        <f>'On-Level &amp; Cred'!K56</f>
        <v>0</v>
      </c>
      <c r="J130" s="1"/>
      <c r="K130" s="1"/>
      <c r="L130" s="1"/>
      <c r="M130" s="1"/>
      <c r="N130" s="1"/>
    </row>
    <row r="131" spans="1:14" x14ac:dyDescent="0.3">
      <c r="A131" s="1"/>
      <c r="B131" s="46">
        <v>2025</v>
      </c>
      <c r="C131" s="20">
        <f>'S1 Chain Ladder'!D38</f>
        <v>469</v>
      </c>
      <c r="D131" s="41">
        <f>C$109</f>
        <v>4.0592330198280537</v>
      </c>
      <c r="E131" s="23">
        <f t="shared" si="44"/>
        <v>1903.7802862993572</v>
      </c>
      <c r="F131" s="41">
        <f>'On-Level &amp; Cred'!H57</f>
        <v>1</v>
      </c>
      <c r="G131" s="22">
        <f t="shared" si="45"/>
        <v>1903.7802862993572</v>
      </c>
      <c r="H131" s="20">
        <f>'On-Level &amp; Cred'!G57</f>
        <v>2650</v>
      </c>
      <c r="I131" s="56">
        <f>'On-Level &amp; Cred'!K57</f>
        <v>0</v>
      </c>
      <c r="J131" s="1"/>
      <c r="K131" s="1"/>
      <c r="L131" s="1"/>
      <c r="M131" s="1"/>
      <c r="N131" s="1"/>
    </row>
    <row r="132" spans="1:14" x14ac:dyDescent="0.3">
      <c r="A132" s="1"/>
      <c r="B132" s="1"/>
      <c r="C132" s="1"/>
      <c r="D132" s="1"/>
      <c r="E132" s="1"/>
      <c r="F132" s="1"/>
      <c r="G132" s="1"/>
      <c r="H132" s="1"/>
      <c r="I132" s="1"/>
      <c r="J132" s="1"/>
      <c r="K132" s="1"/>
      <c r="L132" s="1"/>
      <c r="M132" s="1"/>
      <c r="N132" s="1"/>
    </row>
    <row r="133" spans="1:14" x14ac:dyDescent="0.3">
      <c r="A133" s="1"/>
      <c r="B133" s="6" t="s">
        <v>285</v>
      </c>
      <c r="C133" s="51">
        <f>SUMPRODUCT($I$126:$I$131,$G$126:$G$131)/SUMPRODUCT($I$126:$I$131,$H$126:$H$131)</f>
        <v>0.8402025874113348</v>
      </c>
      <c r="D133" s="1"/>
      <c r="E133" s="1"/>
      <c r="F133" s="1"/>
      <c r="G133" s="1"/>
      <c r="H133" s="1"/>
      <c r="I133" s="1"/>
      <c r="J133" s="1"/>
      <c r="K133" s="1"/>
      <c r="L133" s="1"/>
      <c r="M133" s="1"/>
      <c r="N133" s="1"/>
    </row>
    <row r="134" spans="1:14" x14ac:dyDescent="0.3">
      <c r="A134" s="1"/>
      <c r="B134" s="6" t="s">
        <v>286</v>
      </c>
      <c r="C134" s="57">
        <f>'On-Level &amp; Cred'!C65</f>
        <v>0.42124715809964108</v>
      </c>
      <c r="D134" s="1"/>
      <c r="E134" s="1"/>
      <c r="F134" s="1"/>
      <c r="G134" s="1"/>
      <c r="H134" s="1"/>
      <c r="I134" s="1"/>
      <c r="J134" s="1"/>
      <c r="K134" s="1"/>
      <c r="L134" s="1"/>
      <c r="M134" s="1"/>
      <c r="N134" s="1"/>
    </row>
    <row r="135" spans="1:14" x14ac:dyDescent="0.3">
      <c r="A135" s="1"/>
      <c r="B135" s="6" t="s">
        <v>287</v>
      </c>
      <c r="C135" s="51">
        <f>'On-Level &amp; Cred'!C66</f>
        <v>0.76</v>
      </c>
      <c r="D135" s="1"/>
      <c r="E135" s="1"/>
      <c r="F135" s="1"/>
      <c r="G135" s="1"/>
      <c r="H135" s="1"/>
      <c r="I135" s="1"/>
      <c r="J135" s="1"/>
      <c r="K135" s="1"/>
      <c r="L135" s="1"/>
      <c r="M135" s="1"/>
      <c r="N135" s="1"/>
    </row>
    <row r="136" spans="1:14" x14ac:dyDescent="0.3">
      <c r="A136" s="1"/>
      <c r="B136" s="6" t="s">
        <v>288</v>
      </c>
      <c r="C136" s="49">
        <f>C134*C133+(1-C134)*C135</f>
        <v>0.79378511201926283</v>
      </c>
      <c r="D136" s="1"/>
      <c r="E136" s="1"/>
      <c r="F136" s="1"/>
      <c r="G136" s="1"/>
      <c r="H136" s="1"/>
      <c r="I136" s="1"/>
      <c r="J136" s="1"/>
      <c r="K136" s="1"/>
      <c r="L136" s="1"/>
      <c r="M136" s="1"/>
      <c r="N136" s="1"/>
    </row>
    <row r="137" spans="1:14" x14ac:dyDescent="0.3">
      <c r="A137" s="1"/>
      <c r="B137" s="1"/>
      <c r="C137" s="1"/>
      <c r="D137" s="1"/>
      <c r="E137" s="1"/>
      <c r="F137" s="1"/>
      <c r="G137" s="1"/>
      <c r="H137" s="1"/>
      <c r="I137" s="1"/>
      <c r="J137" s="1"/>
      <c r="K137" s="1"/>
      <c r="L137" s="1"/>
      <c r="M137" s="1"/>
      <c r="N137" s="1"/>
    </row>
    <row r="138" spans="1:14" x14ac:dyDescent="0.3">
      <c r="A138" s="1"/>
      <c r="B138" s="1"/>
      <c r="C138" s="1"/>
      <c r="D138" s="1"/>
      <c r="E138" s="1"/>
      <c r="F138" s="1"/>
      <c r="G138" s="1"/>
      <c r="H138" s="1"/>
      <c r="I138" s="1"/>
      <c r="J138" s="1"/>
      <c r="K138" s="1"/>
      <c r="L138" s="1"/>
      <c r="M138" s="1"/>
      <c r="N138" s="1"/>
    </row>
    <row r="139" spans="1:14" x14ac:dyDescent="0.3">
      <c r="A139" s="1"/>
      <c r="B139" s="5" t="s">
        <v>289</v>
      </c>
      <c r="C139" s="1"/>
      <c r="D139" s="1"/>
      <c r="E139" s="1"/>
      <c r="F139" s="1"/>
      <c r="G139" s="1"/>
      <c r="H139" s="1"/>
      <c r="I139" s="1"/>
      <c r="J139" s="1"/>
      <c r="K139" s="1"/>
      <c r="L139" s="1"/>
      <c r="M139" s="1"/>
      <c r="N139" s="1"/>
    </row>
    <row r="140" spans="1:14" x14ac:dyDescent="0.3">
      <c r="A140" s="1"/>
      <c r="B140" s="4" t="s">
        <v>290</v>
      </c>
      <c r="C140" s="1"/>
      <c r="D140" s="1"/>
      <c r="E140" s="1"/>
      <c r="F140" s="1"/>
      <c r="G140" s="1"/>
      <c r="H140" s="1"/>
      <c r="I140" s="1"/>
      <c r="J140" s="1"/>
      <c r="K140" s="1"/>
      <c r="L140" s="1"/>
      <c r="M140" s="1"/>
      <c r="N140" s="1"/>
    </row>
    <row r="141" spans="1:14" ht="26.4" x14ac:dyDescent="0.3">
      <c r="A141" s="1"/>
      <c r="B141" s="13" t="s">
        <v>55</v>
      </c>
      <c r="C141" s="13" t="s">
        <v>213</v>
      </c>
      <c r="D141" s="13" t="s">
        <v>280</v>
      </c>
      <c r="E141" s="13" t="s">
        <v>291</v>
      </c>
      <c r="F141" s="13" t="s">
        <v>292</v>
      </c>
      <c r="G141" s="13" t="s">
        <v>293</v>
      </c>
      <c r="H141" s="13" t="s">
        <v>294</v>
      </c>
      <c r="I141" s="13" t="s">
        <v>295</v>
      </c>
      <c r="J141" s="13" t="s">
        <v>296</v>
      </c>
      <c r="K141" s="13" t="s">
        <v>297</v>
      </c>
      <c r="L141" s="13" t="s">
        <v>298</v>
      </c>
      <c r="M141" s="13" t="s">
        <v>299</v>
      </c>
      <c r="N141" s="1"/>
    </row>
    <row r="142" spans="1:14" x14ac:dyDescent="0.3">
      <c r="A142" s="1"/>
      <c r="B142" s="46">
        <v>2020</v>
      </c>
      <c r="C142" s="22">
        <f t="shared" ref="C142:C147" si="46">C126</f>
        <v>1300.2</v>
      </c>
      <c r="D142" s="38">
        <f t="shared" ref="D142:D147" si="47">N116</f>
        <v>1.1248640000000001</v>
      </c>
      <c r="E142" s="22">
        <f t="shared" ref="E142:E147" si="48">E126</f>
        <v>1371.711</v>
      </c>
      <c r="F142" s="22">
        <f>'On-Level &amp; Cred'!G52*$C$136/'On-Level &amp; Cred'!H52</f>
        <v>1336.7519430150276</v>
      </c>
      <c r="G142" s="22">
        <f t="shared" ref="G142:G147" si="49">C142+F142*(1-1/D126)</f>
        <v>1369.8884899202146</v>
      </c>
      <c r="H142" s="42">
        <f t="shared" ref="H142:H147" si="50">C142+(E142-C142)*IF(E142&gt;C142,$D142,1)</f>
        <v>1380.640149504</v>
      </c>
      <c r="I142" s="42">
        <f t="shared" ref="I142:I147" si="51">C142+(F142-C142)*IF(F142&gt;C142,$D142,1)</f>
        <v>1341.315964827656</v>
      </c>
      <c r="J142" s="42">
        <f t="shared" ref="J142:J147" si="52">C142+(G142-C142)*IF(G142&gt;C142,$D142,1)</f>
        <v>1378.5900735256123</v>
      </c>
      <c r="K142" s="22">
        <f t="shared" ref="K142:K147" si="53">H142-C142</f>
        <v>80.440149503999919</v>
      </c>
      <c r="L142" s="22">
        <f t="shared" ref="L142:L147" si="54">I142-C142</f>
        <v>41.115964827655944</v>
      </c>
      <c r="M142" s="22">
        <f t="shared" ref="M142:M147" si="55">J142-C142</f>
        <v>78.390073525612252</v>
      </c>
      <c r="N142" s="1"/>
    </row>
    <row r="143" spans="1:14" x14ac:dyDescent="0.3">
      <c r="A143" s="1"/>
      <c r="B143" s="46">
        <v>2021</v>
      </c>
      <c r="C143" s="22">
        <f t="shared" si="46"/>
        <v>1409.9</v>
      </c>
      <c r="D143" s="38">
        <f t="shared" si="47"/>
        <v>1.1094779934945114</v>
      </c>
      <c r="E143" s="22">
        <f t="shared" si="48"/>
        <v>1557.6476634181702</v>
      </c>
      <c r="F143" s="22">
        <f>'On-Level &amp; Cred'!G53*$C$136/'On-Level &amp; Cred'!H53</f>
        <v>1534.661666537012</v>
      </c>
      <c r="G143" s="22">
        <f t="shared" si="49"/>
        <v>1555.4673710386498</v>
      </c>
      <c r="H143" s="42">
        <f t="shared" si="50"/>
        <v>1573.8227811526938</v>
      </c>
      <c r="I143" s="42">
        <f t="shared" si="51"/>
        <v>1548.3203234545153</v>
      </c>
      <c r="J143" s="42">
        <f t="shared" si="52"/>
        <v>1571.4037947382324</v>
      </c>
      <c r="K143" s="22">
        <f t="shared" si="53"/>
        <v>163.92278115269369</v>
      </c>
      <c r="L143" s="22">
        <f t="shared" si="54"/>
        <v>138.42032345451526</v>
      </c>
      <c r="M143" s="22">
        <f t="shared" si="55"/>
        <v>161.50379473823227</v>
      </c>
      <c r="N143" s="1"/>
    </row>
    <row r="144" spans="1:14" x14ac:dyDescent="0.3">
      <c r="A144" s="1"/>
      <c r="B144" s="46">
        <v>2022</v>
      </c>
      <c r="C144" s="22">
        <f t="shared" si="46"/>
        <v>1598</v>
      </c>
      <c r="D144" s="38">
        <f t="shared" si="47"/>
        <v>1.1090970666666788</v>
      </c>
      <c r="E144" s="22">
        <f t="shared" si="48"/>
        <v>1887.089875087574</v>
      </c>
      <c r="F144" s="22">
        <f>'On-Level &amp; Cred'!G54*$C$136/'On-Level &amp; Cred'!H54</f>
        <v>1670.8648691398841</v>
      </c>
      <c r="G144" s="22">
        <f t="shared" si="49"/>
        <v>1853.9656128118693</v>
      </c>
      <c r="H144" s="42">
        <f t="shared" si="50"/>
        <v>1918.6287324626649</v>
      </c>
      <c r="I144" s="42">
        <f t="shared" si="51"/>
        <v>1678.8142126260968</v>
      </c>
      <c r="J144" s="42">
        <f t="shared" si="52"/>
        <v>1881.890710337183</v>
      </c>
      <c r="K144" s="22">
        <f t="shared" si="53"/>
        <v>320.62873246266486</v>
      </c>
      <c r="L144" s="22">
        <f t="shared" si="54"/>
        <v>80.814212626096833</v>
      </c>
      <c r="M144" s="22">
        <f t="shared" si="55"/>
        <v>283.89071033718301</v>
      </c>
      <c r="N144" s="1"/>
    </row>
    <row r="145" spans="1:14" x14ac:dyDescent="0.3">
      <c r="A145" s="1"/>
      <c r="B145" s="46">
        <v>2023</v>
      </c>
      <c r="C145" s="22">
        <f t="shared" si="46"/>
        <v>1260.0999999999999</v>
      </c>
      <c r="D145" s="38">
        <f t="shared" si="47"/>
        <v>1.0948636331192518</v>
      </c>
      <c r="E145" s="22">
        <f t="shared" si="48"/>
        <v>1822.4190252966898</v>
      </c>
      <c r="F145" s="22">
        <f>'On-Level &amp; Cred'!G55*$C$136/'On-Level &amp; Cred'!H55</f>
        <v>1770.9996445918421</v>
      </c>
      <c r="G145" s="22">
        <f t="shared" si="49"/>
        <v>1806.553247098615</v>
      </c>
      <c r="H145" s="42">
        <f t="shared" si="50"/>
        <v>1875.7626510084103</v>
      </c>
      <c r="I145" s="42">
        <f t="shared" si="51"/>
        <v>1819.4654410371586</v>
      </c>
      <c r="J145" s="42">
        <f t="shared" si="52"/>
        <v>1858.3917874482017</v>
      </c>
      <c r="K145" s="22">
        <f t="shared" si="53"/>
        <v>615.66265100841042</v>
      </c>
      <c r="L145" s="22">
        <f t="shared" si="54"/>
        <v>559.36544103715869</v>
      </c>
      <c r="M145" s="22">
        <f t="shared" si="55"/>
        <v>598.29178744820183</v>
      </c>
      <c r="N145" s="1"/>
    </row>
    <row r="146" spans="1:14" x14ac:dyDescent="0.3">
      <c r="A146" s="1"/>
      <c r="B146" s="46">
        <v>2024</v>
      </c>
      <c r="C146" s="22">
        <f t="shared" si="46"/>
        <v>991.2</v>
      </c>
      <c r="D146" s="38">
        <f t="shared" si="47"/>
        <v>1.1017903537603435</v>
      </c>
      <c r="E146" s="22">
        <f t="shared" si="48"/>
        <v>1922.8667216188962</v>
      </c>
      <c r="F146" s="22">
        <f>'On-Level &amp; Cred'!G56*$C$136/'On-Level &amp; Cred'!H56</f>
        <v>1896.0554334488554</v>
      </c>
      <c r="G146" s="22">
        <f t="shared" si="49"/>
        <v>1909.8761255100139</v>
      </c>
      <c r="H146" s="42">
        <f t="shared" si="50"/>
        <v>2017.7014067992232</v>
      </c>
      <c r="I146" s="42">
        <f t="shared" si="51"/>
        <v>1988.1609881215834</v>
      </c>
      <c r="J146" s="42">
        <f t="shared" si="52"/>
        <v>2003.3884933168601</v>
      </c>
      <c r="K146" s="22">
        <f t="shared" si="53"/>
        <v>1026.5014067992231</v>
      </c>
      <c r="L146" s="22">
        <f t="shared" si="54"/>
        <v>996.96098812158334</v>
      </c>
      <c r="M146" s="22">
        <f t="shared" si="55"/>
        <v>1012.1884933168601</v>
      </c>
      <c r="N146" s="1"/>
    </row>
    <row r="147" spans="1:14" x14ac:dyDescent="0.3">
      <c r="A147" s="1"/>
      <c r="B147" s="46">
        <v>2025</v>
      </c>
      <c r="C147" s="22">
        <f t="shared" si="46"/>
        <v>469</v>
      </c>
      <c r="D147" s="38">
        <f t="shared" si="47"/>
        <v>1.1068753781730201</v>
      </c>
      <c r="E147" s="22">
        <f t="shared" si="48"/>
        <v>1903.7802862993572</v>
      </c>
      <c r="F147" s="22">
        <f>'On-Level &amp; Cred'!G57*$C$136/'On-Level &amp; Cred'!H57</f>
        <v>2103.5305468510464</v>
      </c>
      <c r="G147" s="22">
        <f t="shared" si="49"/>
        <v>2054.3216791718633</v>
      </c>
      <c r="H147" s="42">
        <f t="shared" si="50"/>
        <v>2057.1229719927951</v>
      </c>
      <c r="I147" s="42">
        <f t="shared" si="51"/>
        <v>2278.2216171811051</v>
      </c>
      <c r="J147" s="42">
        <f t="shared" si="52"/>
        <v>2223.7535331592435</v>
      </c>
      <c r="K147" s="22">
        <f t="shared" si="53"/>
        <v>1588.1229719927951</v>
      </c>
      <c r="L147" s="22">
        <f t="shared" si="54"/>
        <v>1809.2216171811051</v>
      </c>
      <c r="M147" s="22">
        <f t="shared" si="55"/>
        <v>1754.7535331592435</v>
      </c>
      <c r="N147" s="1"/>
    </row>
    <row r="148" spans="1:14" x14ac:dyDescent="0.3">
      <c r="A148" s="1"/>
      <c r="B148" s="43" t="s">
        <v>218</v>
      </c>
      <c r="C148" s="42">
        <f>SUM(C142:C147)</f>
        <v>7028.4000000000005</v>
      </c>
      <c r="D148" s="1"/>
      <c r="E148" s="1"/>
      <c r="F148" s="1"/>
      <c r="G148" s="1"/>
      <c r="H148" s="42">
        <f t="shared" ref="H148:M148" si="56">SUM(H142:H147)</f>
        <v>10823.678692919788</v>
      </c>
      <c r="I148" s="42">
        <f t="shared" si="56"/>
        <v>10654.298547248114</v>
      </c>
      <c r="J148" s="42">
        <f t="shared" si="56"/>
        <v>10917.418392525335</v>
      </c>
      <c r="K148" s="42">
        <f t="shared" si="56"/>
        <v>3795.2786929197873</v>
      </c>
      <c r="L148" s="42">
        <f t="shared" si="56"/>
        <v>3625.8985472481154</v>
      </c>
      <c r="M148" s="42">
        <f t="shared" si="56"/>
        <v>3889.0183925253332</v>
      </c>
      <c r="N148" s="1"/>
    </row>
    <row r="149" spans="1:14" x14ac:dyDescent="0.3">
      <c r="A149" s="1"/>
      <c r="B149" s="6" t="s">
        <v>300</v>
      </c>
      <c r="C149" s="1"/>
      <c r="D149" s="1"/>
      <c r="E149" s="1"/>
      <c r="F149" s="1"/>
      <c r="G149" s="1"/>
      <c r="H149" s="39" t="str">
        <f>IF(SUMPRODUCT(--(H142:H147&lt;'S1 Chain Ladder'!F33:F38-0.001))+SUMPRODUCT(--(I142:I147&lt;'S2 Expected Claims'!F34:F39-0.001))+SUMPRODUCT(--(J142:J147&lt;'S3 BF'!G34:G39-0.001))=0,"OK","REVIEW")</f>
        <v>OK</v>
      </c>
      <c r="I149" s="1"/>
      <c r="J149" s="1"/>
      <c r="K149" s="1"/>
      <c r="L149" s="1"/>
      <c r="M149" s="1"/>
      <c r="N149" s="1"/>
    </row>
    <row r="150" spans="1:14" x14ac:dyDescent="0.3">
      <c r="A150" s="1"/>
      <c r="B150" s="1"/>
      <c r="C150" s="1"/>
      <c r="D150" s="1"/>
      <c r="E150" s="1"/>
      <c r="F150" s="1"/>
      <c r="G150" s="1"/>
      <c r="H150" s="1"/>
      <c r="I150" s="1"/>
      <c r="J150" s="1"/>
      <c r="K150" s="1"/>
      <c r="L150" s="1"/>
      <c r="M150" s="1"/>
      <c r="N150" s="1"/>
    </row>
    <row r="151" spans="1:14" x14ac:dyDescent="0.3">
      <c r="A151" s="1"/>
      <c r="B151" s="1"/>
      <c r="C151" s="1"/>
      <c r="D151" s="1"/>
      <c r="E151" s="1"/>
      <c r="F151" s="1"/>
      <c r="G151" s="1"/>
      <c r="H151" s="1"/>
      <c r="I151" s="1"/>
      <c r="J151" s="1"/>
      <c r="K151" s="1"/>
      <c r="L151" s="1"/>
      <c r="M151" s="1"/>
      <c r="N151" s="1"/>
    </row>
    <row r="152" spans="1:14" x14ac:dyDescent="0.3">
      <c r="A152" s="1"/>
      <c r="B152" s="1"/>
      <c r="C152" s="1"/>
      <c r="D152" s="1"/>
      <c r="E152" s="1"/>
      <c r="F152" s="1"/>
      <c r="G152" s="1"/>
      <c r="H152" s="1"/>
      <c r="I152" s="1"/>
      <c r="J152" s="1"/>
      <c r="K152" s="1"/>
      <c r="L152" s="1"/>
      <c r="M152" s="1"/>
      <c r="N152" s="1"/>
    </row>
    <row r="153" spans="1:14" x14ac:dyDescent="0.3">
      <c r="A153" s="1"/>
      <c r="B153" s="3" t="s">
        <v>220</v>
      </c>
      <c r="C153" s="1"/>
      <c r="D153" s="1"/>
      <c r="E153" s="1"/>
      <c r="F153" s="1"/>
      <c r="G153" s="1"/>
      <c r="H153" s="1"/>
      <c r="I153" s="1"/>
      <c r="J153" s="1"/>
      <c r="K153" s="1"/>
      <c r="L153" s="1"/>
      <c r="M153" s="1"/>
      <c r="N153" s="1"/>
    </row>
    <row r="154" spans="1:14" ht="26.4" x14ac:dyDescent="0.3">
      <c r="A154" s="1"/>
      <c r="B154" s="13"/>
      <c r="C154" s="13" t="s">
        <v>213</v>
      </c>
      <c r="D154" s="13"/>
      <c r="E154" s="13"/>
      <c r="F154" s="13"/>
      <c r="G154" s="13"/>
      <c r="H154" s="13" t="s">
        <v>301</v>
      </c>
      <c r="I154" s="13" t="s">
        <v>302</v>
      </c>
      <c r="J154" s="13" t="s">
        <v>303</v>
      </c>
      <c r="K154" s="13" t="s">
        <v>297</v>
      </c>
      <c r="L154" s="13" t="s">
        <v>298</v>
      </c>
      <c r="M154" s="13" t="s">
        <v>299</v>
      </c>
      <c r="N154" s="1"/>
    </row>
    <row r="155" spans="1:14" x14ac:dyDescent="0.3">
      <c r="A155" s="1"/>
      <c r="B155" s="45" t="s">
        <v>218</v>
      </c>
      <c r="C155" s="42">
        <f>C50+C99+C148</f>
        <v>31994.129886729461</v>
      </c>
      <c r="D155" s="1"/>
      <c r="E155" s="1"/>
      <c r="F155" s="1"/>
      <c r="G155" s="1"/>
      <c r="H155" s="42">
        <f t="shared" ref="H155:M155" si="57">H50+H99+H148</f>
        <v>44663.122583570323</v>
      </c>
      <c r="I155" s="42">
        <f t="shared" si="57"/>
        <v>44378.677613568849</v>
      </c>
      <c r="J155" s="42">
        <f t="shared" si="57"/>
        <v>44749.776222717162</v>
      </c>
      <c r="K155" s="42">
        <f t="shared" si="57"/>
        <v>12668.992696840862</v>
      </c>
      <c r="L155" s="42">
        <f t="shared" si="57"/>
        <v>12384.547726839384</v>
      </c>
      <c r="M155" s="42">
        <f t="shared" si="57"/>
        <v>12755.646335987694</v>
      </c>
      <c r="N155" s="1"/>
    </row>
  </sheetData>
  <pageMargins left="0.75" right="0.75" top="1" bottom="1" header="0.511811023622047" footer="0.511811023622047"/>
  <pageSetup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30A0"/>
    <pageSetUpPr fitToPage="1"/>
  </sheetPr>
  <dimension ref="A1:K102"/>
  <sheetViews>
    <sheetView showGridLines="0" zoomScaleNormal="100" workbookViewId="0">
      <pane xSplit="2" ySplit="3" topLeftCell="C4" activePane="bottomRight" state="frozen"/>
      <selection pane="topRight" activeCell="C1" sqref="C1"/>
      <selection pane="bottomLeft" activeCell="A4" sqref="A4"/>
      <selection pane="bottomRight"/>
    </sheetView>
  </sheetViews>
  <sheetFormatPr defaultColWidth="8.6640625" defaultRowHeight="14.4" x14ac:dyDescent="0.3"/>
  <cols>
    <col min="1" max="1" width="2" customWidth="1"/>
    <col min="2" max="2" width="46" customWidth="1"/>
    <col min="3" max="4" width="16" customWidth="1"/>
    <col min="5" max="5" width="18" customWidth="1"/>
    <col min="6" max="6" width="4" customWidth="1"/>
    <col min="7" max="7" width="13" customWidth="1"/>
    <col min="8" max="8" width="15" customWidth="1"/>
    <col min="9" max="9" width="3" customWidth="1"/>
    <col min="10" max="10" width="30" customWidth="1"/>
    <col min="11" max="11" width="14" customWidth="1"/>
  </cols>
  <sheetData>
    <row r="1" spans="1:11" ht="17.399999999999999" x14ac:dyDescent="0.3">
      <c r="A1" s="1"/>
      <c r="B1" s="2" t="s">
        <v>304</v>
      </c>
      <c r="C1" s="1"/>
      <c r="D1" s="1"/>
      <c r="E1" s="1"/>
      <c r="F1" s="1"/>
      <c r="G1" s="1"/>
      <c r="H1" s="1"/>
      <c r="I1" s="1"/>
      <c r="J1" s="1"/>
      <c r="K1" s="1"/>
    </row>
    <row r="2" spans="1:11" x14ac:dyDescent="0.3">
      <c r="A2" s="1"/>
      <c r="B2" s="4" t="s">
        <v>305</v>
      </c>
      <c r="C2" s="1"/>
      <c r="D2" s="1"/>
      <c r="E2" s="1"/>
      <c r="F2" s="1"/>
      <c r="G2" s="1"/>
      <c r="H2" s="1"/>
      <c r="I2" s="1"/>
      <c r="J2" s="1"/>
      <c r="K2" s="1"/>
    </row>
    <row r="3" spans="1:11" x14ac:dyDescent="0.3">
      <c r="A3" s="1"/>
      <c r="B3" s="1"/>
      <c r="C3" s="1"/>
      <c r="D3" s="1"/>
      <c r="E3" s="1"/>
      <c r="F3" s="1"/>
      <c r="G3" s="1"/>
      <c r="H3" s="1"/>
      <c r="I3" s="1"/>
      <c r="J3" s="1"/>
      <c r="K3" s="1"/>
    </row>
    <row r="4" spans="1:11" x14ac:dyDescent="0.3">
      <c r="A4" s="1"/>
      <c r="B4" s="1"/>
      <c r="C4" s="1"/>
      <c r="D4" s="1"/>
      <c r="E4" s="1"/>
      <c r="F4" s="1"/>
      <c r="G4" s="1"/>
      <c r="H4" s="1"/>
      <c r="I4" s="1"/>
      <c r="J4" s="1"/>
      <c r="K4" s="1"/>
    </row>
    <row r="5" spans="1:11" x14ac:dyDescent="0.3">
      <c r="A5" s="1"/>
      <c r="B5" s="3" t="s">
        <v>306</v>
      </c>
      <c r="C5" s="1"/>
      <c r="D5" s="1"/>
      <c r="E5" s="1"/>
      <c r="F5" s="1"/>
      <c r="G5" s="1"/>
      <c r="H5" s="1"/>
      <c r="I5" s="1"/>
      <c r="J5" s="1"/>
      <c r="K5" s="1"/>
    </row>
    <row r="6" spans="1:11" x14ac:dyDescent="0.3">
      <c r="A6" s="1"/>
      <c r="B6" s="4" t="s">
        <v>307</v>
      </c>
      <c r="C6" s="1"/>
      <c r="D6" s="1"/>
      <c r="E6" s="1"/>
      <c r="F6" s="1"/>
      <c r="G6" s="1"/>
      <c r="H6" s="1"/>
      <c r="I6" s="1"/>
      <c r="J6" s="1"/>
      <c r="K6" s="1"/>
    </row>
    <row r="7" spans="1:11" x14ac:dyDescent="0.3">
      <c r="A7" s="1"/>
      <c r="B7" s="1"/>
      <c r="C7" s="1"/>
      <c r="D7" s="1"/>
      <c r="E7" s="1"/>
      <c r="F7" s="1"/>
      <c r="G7" s="1"/>
      <c r="H7" s="1"/>
      <c r="I7" s="1"/>
      <c r="J7" s="1"/>
      <c r="K7" s="1"/>
    </row>
    <row r="8" spans="1:11" x14ac:dyDescent="0.3">
      <c r="A8" s="1"/>
      <c r="B8" s="13"/>
      <c r="C8" s="58" t="s">
        <v>308</v>
      </c>
      <c r="D8" s="58" t="s">
        <v>309</v>
      </c>
      <c r="E8" s="58" t="s">
        <v>310</v>
      </c>
      <c r="F8" s="1"/>
      <c r="G8" s="1"/>
      <c r="H8" s="1"/>
      <c r="I8" s="1"/>
      <c r="J8" s="1"/>
      <c r="K8" s="1"/>
    </row>
    <row r="9" spans="1:11" x14ac:dyDescent="0.3">
      <c r="A9" s="1"/>
      <c r="B9" s="16" t="s">
        <v>311</v>
      </c>
      <c r="C9" s="59">
        <f>'S1 Chain Ladder'!G46</f>
        <v>10337.251356898816</v>
      </c>
      <c r="D9" s="59">
        <f>'S2 Expected Claims'!H47</f>
        <v>10572.331666851765</v>
      </c>
      <c r="E9" s="59">
        <f>'S3 BF'!H47</f>
        <v>10561.083223128107</v>
      </c>
      <c r="F9" s="1"/>
      <c r="G9" s="1"/>
      <c r="H9" s="1"/>
      <c r="I9" s="1"/>
      <c r="J9" s="1"/>
      <c r="K9" s="1"/>
    </row>
    <row r="10" spans="1:11" x14ac:dyDescent="0.3">
      <c r="A10" s="1"/>
      <c r="B10" s="16" t="s">
        <v>312</v>
      </c>
      <c r="C10" s="22">
        <f>C9*ADC_att</f>
        <v>10854.113924743757</v>
      </c>
      <c r="D10" s="22">
        <f>D9*ADC_att</f>
        <v>11100.948250194355</v>
      </c>
      <c r="E10" s="22">
        <f>E9*ADC_att</f>
        <v>11089.137384284513</v>
      </c>
      <c r="F10" s="1"/>
      <c r="G10" s="1"/>
      <c r="H10" s="1"/>
      <c r="I10" s="1"/>
      <c r="J10" s="1"/>
      <c r="K10" s="1"/>
    </row>
    <row r="11" spans="1:11" x14ac:dyDescent="0.3">
      <c r="A11" s="1"/>
      <c r="B11" s="16" t="s">
        <v>313</v>
      </c>
      <c r="C11" s="22">
        <f>C9*ADC_exh</f>
        <v>13438.426763968462</v>
      </c>
      <c r="D11" s="22">
        <f>D9*ADC_exh</f>
        <v>13744.031166907296</v>
      </c>
      <c r="E11" s="22">
        <f>E9*ADC_exh</f>
        <v>13729.408190066541</v>
      </c>
      <c r="F11" s="1"/>
      <c r="G11" s="1"/>
      <c r="H11" s="1"/>
      <c r="I11" s="1"/>
      <c r="J11" s="1"/>
      <c r="K11" s="1"/>
    </row>
    <row r="12" spans="1:11" x14ac:dyDescent="0.3">
      <c r="A12" s="1"/>
      <c r="B12" s="16" t="s">
        <v>314</v>
      </c>
      <c r="C12" s="42">
        <f>C11-C10</f>
        <v>2584.3128392247054</v>
      </c>
      <c r="D12" s="42">
        <f>D11-D10</f>
        <v>2643.0829167129414</v>
      </c>
      <c r="E12" s="42">
        <f>E11-E10</f>
        <v>2640.2708057820273</v>
      </c>
      <c r="F12" s="1"/>
      <c r="G12" s="1"/>
      <c r="H12" s="1"/>
      <c r="I12" s="1"/>
      <c r="J12" s="1"/>
      <c r="K12" s="1"/>
    </row>
    <row r="13" spans="1:11" x14ac:dyDescent="0.3">
      <c r="A13" s="1"/>
      <c r="B13" s="16" t="s">
        <v>315</v>
      </c>
      <c r="C13" s="42">
        <f>C12*ADC_rol</f>
        <v>310.11754070696463</v>
      </c>
      <c r="D13" s="42">
        <f>D12*ADC_rol</f>
        <v>317.16995000555295</v>
      </c>
      <c r="E13" s="42">
        <f>E12*ADC_rol</f>
        <v>316.83249669384327</v>
      </c>
      <c r="F13" s="1"/>
      <c r="G13" s="1"/>
      <c r="H13" s="1"/>
      <c r="I13" s="1"/>
      <c r="J13" s="1"/>
      <c r="K13" s="1"/>
    </row>
    <row r="14" spans="1:11" x14ac:dyDescent="0.3">
      <c r="A14" s="1"/>
      <c r="B14" s="16" t="s">
        <v>316</v>
      </c>
      <c r="C14" s="20">
        <f>Extension!K155</f>
        <v>12668.992696840862</v>
      </c>
      <c r="D14" s="20">
        <f>Extension!L155</f>
        <v>12384.547726839384</v>
      </c>
      <c r="E14" s="20">
        <f>Extension!M155</f>
        <v>12755.646335987694</v>
      </c>
      <c r="F14" s="1"/>
      <c r="G14" s="1"/>
      <c r="H14" s="1"/>
      <c r="I14" s="1"/>
      <c r="J14" s="1"/>
      <c r="K14" s="1"/>
    </row>
    <row r="15" spans="1:11" x14ac:dyDescent="0.3">
      <c r="A15" s="1"/>
      <c r="B15" s="16" t="s">
        <v>317</v>
      </c>
      <c r="C15" s="42">
        <f>MIN(MAX(C14-C10,0),C12)</f>
        <v>1814.878772097105</v>
      </c>
      <c r="D15" s="42">
        <f>MIN(MAX(D14-D10,0),D12)</f>
        <v>1283.5994766450294</v>
      </c>
      <c r="E15" s="42">
        <f>MIN(MAX(E14-E10,0),E12)</f>
        <v>1666.5089517031811</v>
      </c>
      <c r="F15" s="1"/>
      <c r="G15" s="1"/>
      <c r="H15" s="1"/>
      <c r="I15" s="1"/>
      <c r="J15" s="1"/>
      <c r="K15" s="1"/>
    </row>
    <row r="16" spans="1:11" x14ac:dyDescent="0.3">
      <c r="A16" s="1"/>
      <c r="B16" s="16" t="s">
        <v>318</v>
      </c>
      <c r="C16" s="42">
        <f>C15-C13</f>
        <v>1504.7612313901404</v>
      </c>
      <c r="D16" s="42">
        <f>D15-D13</f>
        <v>966.42952663947653</v>
      </c>
      <c r="E16" s="42">
        <f>E15-E13</f>
        <v>1349.6764550093378</v>
      </c>
      <c r="F16" s="1"/>
      <c r="G16" s="1"/>
      <c r="H16" s="1"/>
      <c r="I16" s="1"/>
      <c r="J16" s="1"/>
      <c r="K16" s="1"/>
    </row>
    <row r="17" spans="1:11" x14ac:dyDescent="0.3">
      <c r="A17" s="1"/>
      <c r="B17" s="6" t="s">
        <v>319</v>
      </c>
      <c r="C17" s="39" t="str">
        <f>IF(SUMPRODUCT(--(C15:E15&gt;C12:E12+0.001))+SUMPRODUCT(--(C15:E15&lt;-0.001))=0,"OK","REVIEW")</f>
        <v>OK</v>
      </c>
      <c r="D17" s="1"/>
      <c r="E17" s="1"/>
      <c r="F17" s="1"/>
      <c r="G17" s="1"/>
      <c r="H17" s="1"/>
      <c r="I17" s="1"/>
      <c r="J17" s="1"/>
      <c r="K17" s="1"/>
    </row>
    <row r="18" spans="1:11" x14ac:dyDescent="0.3">
      <c r="A18" s="1"/>
      <c r="B18" s="1"/>
      <c r="C18" s="1"/>
      <c r="D18" s="1"/>
      <c r="E18" s="1"/>
      <c r="F18" s="1"/>
      <c r="G18" s="1"/>
      <c r="H18" s="1"/>
      <c r="I18" s="1"/>
      <c r="J18" s="1"/>
      <c r="K18" s="1"/>
    </row>
    <row r="19" spans="1:11" x14ac:dyDescent="0.3">
      <c r="A19" s="1"/>
      <c r="B19" s="1"/>
      <c r="C19" s="1"/>
      <c r="D19" s="1"/>
      <c r="E19" s="1"/>
      <c r="F19" s="1"/>
      <c r="G19" s="1"/>
      <c r="H19" s="1"/>
      <c r="I19" s="1"/>
      <c r="J19" s="1"/>
      <c r="K19" s="1"/>
    </row>
    <row r="20" spans="1:11" x14ac:dyDescent="0.3">
      <c r="A20" s="1"/>
      <c r="B20" s="3" t="s">
        <v>320</v>
      </c>
      <c r="C20" s="1"/>
      <c r="D20" s="1"/>
      <c r="E20" s="1"/>
      <c r="F20" s="1"/>
      <c r="G20" s="1"/>
      <c r="H20" s="1"/>
      <c r="I20" s="1"/>
      <c r="J20" s="1"/>
      <c r="K20" s="1"/>
    </row>
    <row r="21" spans="1:11" x14ac:dyDescent="0.3">
      <c r="A21" s="1"/>
      <c r="B21" s="16" t="s">
        <v>320</v>
      </c>
      <c r="C21" s="60" t="s">
        <v>310</v>
      </c>
      <c r="D21" s="1"/>
      <c r="E21" s="1"/>
      <c r="F21" s="1"/>
      <c r="G21" s="1"/>
      <c r="H21" s="1"/>
      <c r="I21" s="1"/>
      <c r="J21" s="1"/>
      <c r="K21" s="1"/>
    </row>
    <row r="22" spans="1:11" x14ac:dyDescent="0.3">
      <c r="A22" s="1"/>
      <c r="B22" s="4" t="s">
        <v>321</v>
      </c>
      <c r="C22" s="1"/>
      <c r="D22" s="1"/>
      <c r="E22" s="1"/>
      <c r="F22" s="1"/>
      <c r="G22" s="1"/>
      <c r="H22" s="1"/>
      <c r="I22" s="1"/>
      <c r="J22" s="1"/>
      <c r="K22" s="1"/>
    </row>
    <row r="23" spans="1:11" x14ac:dyDescent="0.3">
      <c r="A23" s="1"/>
      <c r="B23" s="4" t="s">
        <v>322</v>
      </c>
      <c r="C23" s="1"/>
      <c r="D23" s="1"/>
      <c r="E23" s="1"/>
      <c r="F23" s="1"/>
      <c r="G23" s="1"/>
      <c r="H23" s="1"/>
      <c r="I23" s="1"/>
      <c r="J23" s="1"/>
      <c r="K23" s="1"/>
    </row>
    <row r="24" spans="1:11" x14ac:dyDescent="0.3">
      <c r="A24" s="1"/>
      <c r="B24" s="1"/>
      <c r="C24" s="1"/>
      <c r="D24" s="1"/>
      <c r="E24" s="1"/>
      <c r="F24" s="1"/>
      <c r="G24" s="1"/>
      <c r="H24" s="1"/>
      <c r="I24" s="1"/>
      <c r="J24" s="1"/>
      <c r="K24" s="1"/>
    </row>
    <row r="25" spans="1:11" x14ac:dyDescent="0.3">
      <c r="A25" s="1"/>
      <c r="B25" s="16" t="s">
        <v>311</v>
      </c>
      <c r="C25" s="42">
        <f t="shared" ref="C25:C32" si="0">INDEX($C$9:$E$16,MATCH($B25,$B$9:$B$16,0),MATCH($C$21,$C$8:$E$8,0))</f>
        <v>10561.083223128107</v>
      </c>
      <c r="D25" s="1"/>
      <c r="E25" s="1"/>
      <c r="F25" s="1"/>
      <c r="G25" s="1"/>
      <c r="H25" s="1"/>
      <c r="I25" s="1"/>
      <c r="J25" s="1"/>
      <c r="K25" s="1"/>
    </row>
    <row r="26" spans="1:11" x14ac:dyDescent="0.3">
      <c r="A26" s="1"/>
      <c r="B26" s="16" t="s">
        <v>312</v>
      </c>
      <c r="C26" s="42">
        <f t="shared" si="0"/>
        <v>11089.137384284513</v>
      </c>
      <c r="D26" s="1"/>
      <c r="E26" s="1"/>
      <c r="F26" s="1"/>
      <c r="G26" s="1"/>
      <c r="H26" s="1"/>
      <c r="I26" s="1"/>
      <c r="J26" s="1"/>
      <c r="K26" s="1"/>
    </row>
    <row r="27" spans="1:11" x14ac:dyDescent="0.3">
      <c r="A27" s="1"/>
      <c r="B27" s="16" t="s">
        <v>313</v>
      </c>
      <c r="C27" s="42">
        <f t="shared" si="0"/>
        <v>13729.408190066541</v>
      </c>
      <c r="D27" s="1"/>
      <c r="E27" s="1"/>
      <c r="F27" s="1"/>
      <c r="G27" s="1"/>
      <c r="H27" s="1"/>
      <c r="I27" s="1"/>
      <c r="J27" s="1"/>
      <c r="K27" s="1"/>
    </row>
    <row r="28" spans="1:11" x14ac:dyDescent="0.3">
      <c r="A28" s="1"/>
      <c r="B28" s="16" t="s">
        <v>314</v>
      </c>
      <c r="C28" s="42">
        <f t="shared" si="0"/>
        <v>2640.2708057820273</v>
      </c>
      <c r="D28" s="1"/>
      <c r="E28" s="1"/>
      <c r="F28" s="1"/>
      <c r="G28" s="1"/>
      <c r="H28" s="1"/>
      <c r="I28" s="1"/>
      <c r="J28" s="1"/>
      <c r="K28" s="1"/>
    </row>
    <row r="29" spans="1:11" x14ac:dyDescent="0.3">
      <c r="A29" s="1"/>
      <c r="B29" s="16" t="s">
        <v>315</v>
      </c>
      <c r="C29" s="42">
        <f t="shared" si="0"/>
        <v>316.83249669384327</v>
      </c>
      <c r="D29" s="1"/>
      <c r="E29" s="1"/>
      <c r="F29" s="1"/>
      <c r="G29" s="1"/>
      <c r="H29" s="1"/>
      <c r="I29" s="1"/>
      <c r="J29" s="1"/>
      <c r="K29" s="1"/>
    </row>
    <row r="30" spans="1:11" x14ac:dyDescent="0.3">
      <c r="A30" s="1"/>
      <c r="B30" s="16" t="s">
        <v>316</v>
      </c>
      <c r="C30" s="42">
        <f t="shared" si="0"/>
        <v>12755.646335987694</v>
      </c>
      <c r="D30" s="1"/>
      <c r="E30" s="1"/>
      <c r="F30" s="1"/>
      <c r="G30" s="1"/>
      <c r="H30" s="1"/>
      <c r="I30" s="1"/>
      <c r="J30" s="1"/>
      <c r="K30" s="1"/>
    </row>
    <row r="31" spans="1:11" x14ac:dyDescent="0.3">
      <c r="A31" s="1"/>
      <c r="B31" s="16" t="s">
        <v>317</v>
      </c>
      <c r="C31" s="42">
        <f t="shared" si="0"/>
        <v>1666.5089517031811</v>
      </c>
      <c r="D31" s="1"/>
      <c r="E31" s="1"/>
      <c r="F31" s="1"/>
      <c r="G31" s="1"/>
      <c r="H31" s="1"/>
      <c r="I31" s="1"/>
      <c r="J31" s="1"/>
      <c r="K31" s="1"/>
    </row>
    <row r="32" spans="1:11" x14ac:dyDescent="0.3">
      <c r="A32" s="1"/>
      <c r="B32" s="16" t="s">
        <v>318</v>
      </c>
      <c r="C32" s="42">
        <f t="shared" si="0"/>
        <v>1349.6764550093378</v>
      </c>
      <c r="D32" s="1"/>
      <c r="E32" s="1"/>
      <c r="F32" s="1"/>
      <c r="G32" s="1"/>
      <c r="H32" s="1"/>
      <c r="I32" s="1"/>
      <c r="J32" s="1"/>
      <c r="K32" s="1"/>
    </row>
    <row r="33" spans="1:11" x14ac:dyDescent="0.3">
      <c r="A33" s="1"/>
      <c r="B33" s="1"/>
      <c r="C33" s="1"/>
      <c r="D33" s="1"/>
      <c r="E33" s="1"/>
      <c r="F33" s="1"/>
      <c r="G33" s="1"/>
      <c r="H33" s="1"/>
      <c r="I33" s="1"/>
      <c r="J33" s="1"/>
      <c r="K33" s="1"/>
    </row>
    <row r="34" spans="1:11" x14ac:dyDescent="0.3">
      <c r="A34" s="1"/>
      <c r="B34" s="1"/>
      <c r="C34" s="1"/>
      <c r="D34" s="1"/>
      <c r="E34" s="1"/>
      <c r="F34" s="1"/>
      <c r="G34" s="1"/>
      <c r="H34" s="1"/>
      <c r="I34" s="1"/>
      <c r="J34" s="1"/>
      <c r="K34" s="1"/>
    </row>
    <row r="35" spans="1:11" x14ac:dyDescent="0.3">
      <c r="A35" s="1"/>
      <c r="B35" s="3" t="s">
        <v>323</v>
      </c>
      <c r="C35" s="1"/>
      <c r="D35" s="1"/>
      <c r="E35" s="1"/>
      <c r="F35" s="1"/>
      <c r="G35" s="1"/>
      <c r="H35" s="1"/>
      <c r="I35" s="1"/>
      <c r="J35" s="1"/>
      <c r="K35" s="1"/>
    </row>
    <row r="36" spans="1:11" x14ac:dyDescent="0.3">
      <c r="A36" s="1"/>
      <c r="B36" s="4" t="s">
        <v>324</v>
      </c>
      <c r="C36" s="1"/>
      <c r="D36" s="1"/>
      <c r="E36" s="1"/>
      <c r="F36" s="1"/>
      <c r="G36" s="1"/>
      <c r="H36" s="1"/>
      <c r="I36" s="1"/>
      <c r="J36" s="1"/>
      <c r="K36" s="1"/>
    </row>
    <row r="37" spans="1:11" x14ac:dyDescent="0.3">
      <c r="A37" s="1"/>
      <c r="B37" s="1"/>
      <c r="C37" s="1"/>
      <c r="D37" s="1"/>
      <c r="E37" s="1"/>
      <c r="F37" s="1"/>
      <c r="G37" s="1"/>
      <c r="H37" s="1"/>
      <c r="I37" s="1"/>
      <c r="J37" s="1"/>
      <c r="K37" s="1"/>
    </row>
    <row r="38" spans="1:11" ht="39.6" x14ac:dyDescent="0.3">
      <c r="A38" s="1"/>
      <c r="B38" s="13" t="s">
        <v>325</v>
      </c>
      <c r="C38" s="13" t="s">
        <v>326</v>
      </c>
      <c r="D38" s="13" t="s">
        <v>327</v>
      </c>
      <c r="E38" s="13" t="s">
        <v>328</v>
      </c>
      <c r="F38" s="1"/>
      <c r="G38" s="1"/>
      <c r="H38" s="1"/>
      <c r="I38" s="1"/>
      <c r="J38" s="61" t="s">
        <v>329</v>
      </c>
      <c r="K38" s="61" t="s">
        <v>330</v>
      </c>
    </row>
    <row r="39" spans="1:11" x14ac:dyDescent="0.3">
      <c r="A39" s="1"/>
      <c r="B39" s="62">
        <v>0</v>
      </c>
      <c r="C39" s="22">
        <f>SUMPRODUCT((Extension!E44:E49-Extension!C44:C49&gt;0)*(Extension!E44:E49-Extension!C44:C49)*(1+$B39)^Extension!M18:M23)+SUMPRODUCT((Extension!E93:E98-Extension!C93:C98&gt;0)*(Extension!E93:E98-Extension!C93:C98)*(1+$B39)^Extension!M67:M72)+SUMPRODUCT((Extension!E142:E147-Extension!C142:C147&gt;0)*(Extension!E142:E147-Extension!C142:C147)*(1+$B39)^Extension!M116:M121)</f>
        <v>11582.846148383751</v>
      </c>
      <c r="D39" s="22">
        <f>SUMPRODUCT((Extension!F44:F49-Extension!C44:C49&gt;0)*(Extension!F44:F49-Extension!C44:C49)*(1+$B39)^Extension!M18:M23)+SUMPRODUCT((Extension!F93:F98-Extension!C93:C98&gt;0)*(Extension!F93:F98-Extension!C93:C98)*(1+$B39)^Extension!M67:M72)+SUMPRODUCT((Extension!F142:F147-Extension!C142:C147&gt;0)*(Extension!F142:F147-Extension!C142:C147)*(1+$B39)^Extension!M116:M121)</f>
        <v>11330.659886061856</v>
      </c>
      <c r="E39" s="22">
        <f>SUMPRODUCT((Extension!G44:G49-Extension!C44:C49&gt;0)*(Extension!G44:G49-Extension!C44:C49)*(1+$B39)^Extension!M18:M23)+SUMPRODUCT((Extension!G93:G98-Extension!C93:C98&gt;0)*(Extension!G93:G98-Extension!C93:C98)*(1+$B39)^Extension!M67:M72)+SUMPRODUCT((Extension!G142:G147-Extension!C142:C147&gt;0)*(Extension!G142:G147-Extension!C142:C147)*(1+$B39)^Extension!M116:M121)</f>
        <v>11660.757814808516</v>
      </c>
      <c r="F39" s="1"/>
      <c r="G39" s="1"/>
      <c r="H39" s="1"/>
      <c r="I39" s="1"/>
      <c r="J39" s="63">
        <f t="shared" ref="J39:J70" si="1">$C$26</f>
        <v>11089.137384284513</v>
      </c>
      <c r="K39" s="63">
        <f t="shared" ref="K39:K70" si="2">$C$27</f>
        <v>13729.408190066541</v>
      </c>
    </row>
    <row r="40" spans="1:11" x14ac:dyDescent="0.3">
      <c r="A40" s="1"/>
      <c r="B40" s="62">
        <v>2.5000000000000001E-3</v>
      </c>
      <c r="C40" s="22">
        <f>SUMPRODUCT((Extension!E44:E49-Extension!C44:C49&gt;0)*(Extension!E44:E49-Extension!C44:C49)*(1+$B40)^Extension!M18:M23)+SUMPRODUCT((Extension!E93:E98-Extension!C93:C98&gt;0)*(Extension!E93:E98-Extension!C93:C98)*(1+$B40)^Extension!M67:M72)+SUMPRODUCT((Extension!E142:E147-Extension!C142:C147&gt;0)*(Extension!E142:E147-Extension!C142:C147)*(1+$B40)^Extension!M116:M121)</f>
        <v>11649.10238174286</v>
      </c>
      <c r="D40" s="22">
        <f>SUMPRODUCT((Extension!F44:F49-Extension!C44:C49&gt;0)*(Extension!F44:F49-Extension!C44:C49)*(1+$B40)^Extension!M18:M23)+SUMPRODUCT((Extension!F93:F98-Extension!C93:C98&gt;0)*(Extension!F93:F98-Extension!C93:C98)*(1+$B40)^Extension!M67:M72)+SUMPRODUCT((Extension!F142:F147-Extension!C142:C147&gt;0)*(Extension!F142:F147-Extension!C142:C147)*(1+$B40)^Extension!M116:M121)</f>
        <v>11395.307931754865</v>
      </c>
      <c r="E40" s="22">
        <f>SUMPRODUCT((Extension!G44:G49-Extension!C44:C49&gt;0)*(Extension!G44:G49-Extension!C44:C49)*(1+$B40)^Extension!M18:M23)+SUMPRODUCT((Extension!G93:G98-Extension!C93:C98&gt;0)*(Extension!G93:G98-Extension!C93:C98)*(1+$B40)^Extension!M67:M72)+SUMPRODUCT((Extension!G142:G147-Extension!C142:C147&gt;0)*(Extension!G142:G147-Extension!C142:C147)*(1+$B40)^Extension!M116:M121)</f>
        <v>11727.543531332429</v>
      </c>
      <c r="F40" s="1"/>
      <c r="G40" s="1"/>
      <c r="H40" s="1"/>
      <c r="I40" s="1"/>
      <c r="J40" s="63">
        <f t="shared" si="1"/>
        <v>11089.137384284513</v>
      </c>
      <c r="K40" s="63">
        <f t="shared" si="2"/>
        <v>13729.408190066541</v>
      </c>
    </row>
    <row r="41" spans="1:11" x14ac:dyDescent="0.3">
      <c r="A41" s="1"/>
      <c r="B41" s="62">
        <v>5.0000000000000001E-3</v>
      </c>
      <c r="C41" s="22">
        <f>SUMPRODUCT((Extension!E44:E49-Extension!C44:C49&gt;0)*(Extension!E44:E49-Extension!C44:C49)*(1+$B41)^Extension!M18:M23)+SUMPRODUCT((Extension!E93:E98-Extension!C93:C98&gt;0)*(Extension!E93:E98-Extension!C93:C98)*(1+$B41)^Extension!M67:M72)+SUMPRODUCT((Extension!E142:E147-Extension!C142:C147&gt;0)*(Extension!E142:E147-Extension!C142:C147)*(1+$B41)^Extension!M116:M121)</f>
        <v>11715.574803423955</v>
      </c>
      <c r="D41" s="22">
        <f>SUMPRODUCT((Extension!F44:F49-Extension!C44:C49&gt;0)*(Extension!F44:F49-Extension!C44:C49)*(1+$B41)^Extension!M18:M23)+SUMPRODUCT((Extension!F93:F98-Extension!C93:C98&gt;0)*(Extension!F93:F98-Extension!C93:C98)*(1+$B41)^Extension!M67:M72)+SUMPRODUCT((Extension!F142:F147-Extension!C142:C147&gt;0)*(Extension!F142:F147-Extension!C142:C147)*(1+$B41)^Extension!M116:M121)</f>
        <v>11460.166163360245</v>
      </c>
      <c r="E41" s="22">
        <f>SUMPRODUCT((Extension!G44:G49-Extension!C44:C49&gt;0)*(Extension!G44:G49-Extension!C44:C49)*(1+$B41)^Extension!M18:M23)+SUMPRODUCT((Extension!G93:G98-Extension!C93:C98&gt;0)*(Extension!G93:G98-Extension!C93:C98)*(1+$B41)^Extension!M67:M72)+SUMPRODUCT((Extension!G142:G147-Extension!C142:C147&gt;0)*(Extension!G142:G147-Extension!C142:C147)*(1+$B41)^Extension!M116:M121)</f>
        <v>11794.547671188575</v>
      </c>
      <c r="F41" s="1"/>
      <c r="G41" s="1"/>
      <c r="H41" s="1"/>
      <c r="I41" s="1"/>
      <c r="J41" s="63">
        <f t="shared" si="1"/>
        <v>11089.137384284513</v>
      </c>
      <c r="K41" s="63">
        <f t="shared" si="2"/>
        <v>13729.408190066541</v>
      </c>
    </row>
    <row r="42" spans="1:11" x14ac:dyDescent="0.3">
      <c r="A42" s="1"/>
      <c r="B42" s="62">
        <v>7.4999999999999997E-3</v>
      </c>
      <c r="C42" s="22">
        <f>SUMPRODUCT((Extension!E44:E49-Extension!C44:C49&gt;0)*(Extension!E44:E49-Extension!C44:C49)*(1+$B42)^Extension!M18:M23)+SUMPRODUCT((Extension!E93:E98-Extension!C93:C98&gt;0)*(Extension!E93:E98-Extension!C93:C98)*(1+$B42)^Extension!M67:M72)+SUMPRODUCT((Extension!E142:E147-Extension!C142:C147&gt;0)*(Extension!E142:E147-Extension!C142:C147)*(1+$B42)^Extension!M116:M121)</f>
        <v>11782.263600255672</v>
      </c>
      <c r="D42" s="22">
        <f>SUMPRODUCT((Extension!F44:F49-Extension!C44:C49&gt;0)*(Extension!F44:F49-Extension!C44:C49)*(1+$B42)^Extension!M18:M23)+SUMPRODUCT((Extension!F93:F98-Extension!C93:C98&gt;0)*(Extension!F93:F98-Extension!C93:C98)*(1+$B42)^Extension!M67:M72)+SUMPRODUCT((Extension!F142:F147-Extension!C142:C147&gt;0)*(Extension!F142:F147-Extension!C142:C147)*(1+$B42)^Extension!M116:M121)</f>
        <v>11525.23476081041</v>
      </c>
      <c r="E42" s="22">
        <f>SUMPRODUCT((Extension!G44:G49-Extension!C44:C49&gt;0)*(Extension!G44:G49-Extension!C44:C49)*(1+$B42)^Extension!M18:M23)+SUMPRODUCT((Extension!G93:G98-Extension!C93:C98&gt;0)*(Extension!G93:G98-Extension!C93:C98)*(1+$B42)^Extension!M67:M72)+SUMPRODUCT((Extension!G142:G147-Extension!C142:C147&gt;0)*(Extension!G142:G147-Extension!C142:C147)*(1+$B42)^Extension!M116:M121)</f>
        <v>11861.770424861943</v>
      </c>
      <c r="F42" s="1"/>
      <c r="G42" s="1"/>
      <c r="H42" s="1"/>
      <c r="I42" s="1"/>
      <c r="J42" s="63">
        <f t="shared" si="1"/>
        <v>11089.137384284513</v>
      </c>
      <c r="K42" s="63">
        <f t="shared" si="2"/>
        <v>13729.408190066541</v>
      </c>
    </row>
    <row r="43" spans="1:11" x14ac:dyDescent="0.3">
      <c r="A43" s="1"/>
      <c r="B43" s="62">
        <v>0.01</v>
      </c>
      <c r="C43" s="22">
        <f>SUMPRODUCT((Extension!E44:E49-Extension!C44:C49&gt;0)*(Extension!E44:E49-Extension!C44:C49)*(1+$B43)^Extension!M18:M23)+SUMPRODUCT((Extension!E93:E98-Extension!C93:C98&gt;0)*(Extension!E93:E98-Extension!C93:C98)*(1+$B43)^Extension!M67:M72)+SUMPRODUCT((Extension!E142:E147-Extension!C142:C147&gt;0)*(Extension!E142:E147-Extension!C142:C147)*(1+$B43)^Extension!M116:M121)</f>
        <v>11849.168958840346</v>
      </c>
      <c r="D43" s="22">
        <f>SUMPRODUCT((Extension!F44:F49-Extension!C44:C49&gt;0)*(Extension!F44:F49-Extension!C44:C49)*(1+$B43)^Extension!M18:M23)+SUMPRODUCT((Extension!F93:F98-Extension!C93:C98&gt;0)*(Extension!F93:F98-Extension!C93:C98)*(1+$B43)^Extension!M67:M72)+SUMPRODUCT((Extension!F142:F147-Extension!C142:C147&gt;0)*(Extension!F142:F147-Extension!C142:C147)*(1+$B43)^Extension!M116:M121)</f>
        <v>11590.51390381945</v>
      </c>
      <c r="E43" s="22">
        <f>SUMPRODUCT((Extension!G44:G49-Extension!C44:C49&gt;0)*(Extension!G44:G49-Extension!C44:C49)*(1+$B43)^Extension!M18:M23)+SUMPRODUCT((Extension!G93:G98-Extension!C93:C98&gt;0)*(Extension!G93:G98-Extension!C93:C98)*(1+$B43)^Extension!M67:M72)+SUMPRODUCT((Extension!G142:G147-Extension!C142:C147&gt;0)*(Extension!G142:G147-Extension!C142:C147)*(1+$B43)^Extension!M116:M121)</f>
        <v>11929.211982607505</v>
      </c>
      <c r="F43" s="1"/>
      <c r="G43" s="1"/>
      <c r="H43" s="1"/>
      <c r="I43" s="1"/>
      <c r="J43" s="63">
        <f t="shared" si="1"/>
        <v>11089.137384284513</v>
      </c>
      <c r="K43" s="63">
        <f t="shared" si="2"/>
        <v>13729.408190066541</v>
      </c>
    </row>
    <row r="44" spans="1:11" x14ac:dyDescent="0.3">
      <c r="A44" s="1"/>
      <c r="B44" s="62">
        <v>1.2500000000000001E-2</v>
      </c>
      <c r="C44" s="22">
        <f>SUMPRODUCT((Extension!E44:E49-Extension!C44:C49&gt;0)*(Extension!E44:E49-Extension!C44:C49)*(1+$B44)^Extension!M18:M23)+SUMPRODUCT((Extension!E93:E98-Extension!C93:C98&gt;0)*(Extension!E93:E98-Extension!C93:C98)*(1+$B44)^Extension!M67:M72)+SUMPRODUCT((Extension!E142:E147-Extension!C142:C147&gt;0)*(Extension!E142:E147-Extension!C142:C147)*(1+$B44)^Extension!M116:M121)</f>
        <v>11916.291065554955</v>
      </c>
      <c r="D44" s="22">
        <f>SUMPRODUCT((Extension!F44:F49-Extension!C44:C49&gt;0)*(Extension!F44:F49-Extension!C44:C49)*(1+$B44)^Extension!M18:M23)+SUMPRODUCT((Extension!F93:F98-Extension!C93:C98&gt;0)*(Extension!F93:F98-Extension!C93:C98)*(1+$B44)^Extension!M67:M72)+SUMPRODUCT((Extension!F142:F147-Extension!C142:C147&gt;0)*(Extension!F142:F147-Extension!C142:C147)*(1+$B44)^Extension!M116:M121)</f>
        <v>11656.003771884007</v>
      </c>
      <c r="E44" s="22">
        <f>SUMPRODUCT((Extension!G44:G49-Extension!C44:C49&gt;0)*(Extension!G44:G49-Extension!C44:C49)*(1+$B44)^Extension!M18:M23)+SUMPRODUCT((Extension!G93:G98-Extension!C93:C98&gt;0)*(Extension!G93:G98-Extension!C93:C98)*(1+$B44)^Extension!M67:M72)+SUMPRODUCT((Extension!G142:G147-Extension!C142:C147&gt;0)*(Extension!G142:G147-Extension!C142:C147)*(1+$B44)^Extension!M116:M121)</f>
        <v>11996.872534451173</v>
      </c>
      <c r="F44" s="1"/>
      <c r="G44" s="1"/>
      <c r="H44" s="1"/>
      <c r="I44" s="1"/>
      <c r="J44" s="63">
        <f t="shared" si="1"/>
        <v>11089.137384284513</v>
      </c>
      <c r="K44" s="63">
        <f t="shared" si="2"/>
        <v>13729.408190066541</v>
      </c>
    </row>
    <row r="45" spans="1:11" x14ac:dyDescent="0.3">
      <c r="A45" s="1"/>
      <c r="B45" s="62">
        <v>1.4999999999999999E-2</v>
      </c>
      <c r="C45" s="22">
        <f>SUMPRODUCT((Extension!E44:E49-Extension!C44:C49&gt;0)*(Extension!E44:E49-Extension!C44:C49)*(1+$B45)^Extension!M18:M23)+SUMPRODUCT((Extension!E93:E98-Extension!C93:C98&gt;0)*(Extension!E93:E98-Extension!C93:C98)*(1+$B45)^Extension!M67:M72)+SUMPRODUCT((Extension!E142:E147-Extension!C142:C147&gt;0)*(Extension!E142:E147-Extension!C142:C147)*(1+$B45)^Extension!M116:M121)</f>
        <v>11983.630106551966</v>
      </c>
      <c r="D45" s="22">
        <f>SUMPRODUCT((Extension!F44:F49-Extension!C44:C49&gt;0)*(Extension!F44:F49-Extension!C44:C49)*(1+$B45)^Extension!M18:M23)+SUMPRODUCT((Extension!F93:F98-Extension!C93:C98&gt;0)*(Extension!F93:F98-Extension!C93:C98)*(1+$B45)^Extension!M67:M72)+SUMPRODUCT((Extension!F142:F147-Extension!C142:C147&gt;0)*(Extension!F142:F147-Extension!C142:C147)*(1+$B45)^Extension!M116:M121)</f>
        <v>11721.70454428413</v>
      </c>
      <c r="E45" s="22">
        <f>SUMPRODUCT((Extension!G44:G49-Extension!C44:C49&gt;0)*(Extension!G44:G49-Extension!C44:C49)*(1+$B45)^Extension!M18:M23)+SUMPRODUCT((Extension!G93:G98-Extension!C93:C98&gt;0)*(Extension!G93:G98-Extension!C93:C98)*(1+$B45)^Extension!M67:M72)+SUMPRODUCT((Extension!G142:G147-Extension!C142:C147&gt;0)*(Extension!G142:G147-Extension!C142:C147)*(1+$B45)^Extension!M116:M121)</f>
        <v>12064.752270190671</v>
      </c>
      <c r="F45" s="1"/>
      <c r="G45" s="1"/>
      <c r="H45" s="1"/>
      <c r="I45" s="1"/>
      <c r="J45" s="63">
        <f t="shared" si="1"/>
        <v>11089.137384284513</v>
      </c>
      <c r="K45" s="63">
        <f t="shared" si="2"/>
        <v>13729.408190066541</v>
      </c>
    </row>
    <row r="46" spans="1:11" x14ac:dyDescent="0.3">
      <c r="A46" s="1"/>
      <c r="B46" s="62">
        <v>1.7500000000000002E-2</v>
      </c>
      <c r="C46" s="22">
        <f>SUMPRODUCT((Extension!E44:E49-Extension!C44:C49&gt;0)*(Extension!E44:E49-Extension!C44:C49)*(1+$B46)^Extension!M18:M23)+SUMPRODUCT((Extension!E93:E98-Extension!C93:C98&gt;0)*(Extension!E93:E98-Extension!C93:C98)*(1+$B46)^Extension!M67:M72)+SUMPRODUCT((Extension!E142:E147-Extension!C142:C147&gt;0)*(Extension!E142:E147-Extension!C142:C147)*(1+$B46)^Extension!M116:M121)</f>
        <v>12051.186267760242</v>
      </c>
      <c r="D46" s="22">
        <f>SUMPRODUCT((Extension!F44:F49-Extension!C44:C49&gt;0)*(Extension!F44:F49-Extension!C44:C49)*(1+$B46)^Extension!M18:M23)+SUMPRODUCT((Extension!F93:F98-Extension!C93:C98&gt;0)*(Extension!F93:F98-Extension!C93:C98)*(1+$B46)^Extension!M67:M72)+SUMPRODUCT((Extension!F142:F147-Extension!C142:C147&gt;0)*(Extension!F142:F147-Extension!C142:C147)*(1+$B46)^Extension!M116:M121)</f>
        <v>11787.616400084127</v>
      </c>
      <c r="E46" s="22">
        <f>SUMPRODUCT((Extension!G44:G49-Extension!C44:C49&gt;0)*(Extension!G44:G49-Extension!C44:C49)*(1+$B46)^Extension!M18:M23)+SUMPRODUCT((Extension!G93:G98-Extension!C93:C98&gt;0)*(Extension!G93:G98-Extension!C93:C98)*(1+$B46)^Extension!M67:M72)+SUMPRODUCT((Extension!G142:G147-Extension!C142:C147&gt;0)*(Extension!G142:G147-Extension!C142:C147)*(1+$B46)^Extension!M116:M121)</f>
        <v>12132.851379396448</v>
      </c>
      <c r="F46" s="1"/>
      <c r="G46" s="1"/>
      <c r="H46" s="1"/>
      <c r="I46" s="1"/>
      <c r="J46" s="63">
        <f t="shared" si="1"/>
        <v>11089.137384284513</v>
      </c>
      <c r="K46" s="63">
        <f t="shared" si="2"/>
        <v>13729.408190066541</v>
      </c>
    </row>
    <row r="47" spans="1:11" x14ac:dyDescent="0.3">
      <c r="A47" s="1"/>
      <c r="B47" s="62">
        <v>0.02</v>
      </c>
      <c r="C47" s="22">
        <f>SUMPRODUCT((Extension!E44:E49-Extension!C44:C49&gt;0)*(Extension!E44:E49-Extension!C44:C49)*(1+$B47)^Extension!M18:M23)+SUMPRODUCT((Extension!E93:E98-Extension!C93:C98&gt;0)*(Extension!E93:E98-Extension!C93:C98)*(1+$B47)^Extension!M67:M72)+SUMPRODUCT((Extension!E142:E147-Extension!C142:C147&gt;0)*(Extension!E142:E147-Extension!C142:C147)*(1+$B47)^Extension!M116:M121)</f>
        <v>12118.959734885922</v>
      </c>
      <c r="D47" s="22">
        <f>SUMPRODUCT((Extension!F44:F49-Extension!C44:C49&gt;0)*(Extension!F44:F49-Extension!C44:C49)*(1+$B47)^Extension!M18:M23)+SUMPRODUCT((Extension!F93:F98-Extension!C93:C98&gt;0)*(Extension!F93:F98-Extension!C93:C98)*(1+$B47)^Extension!M67:M72)+SUMPRODUCT((Extension!F142:F147-Extension!C142:C147&gt;0)*(Extension!F142:F147-Extension!C142:C147)*(1+$B47)^Extension!M116:M121)</f>
        <v>11853.739518133394</v>
      </c>
      <c r="E47" s="22">
        <f>SUMPRODUCT((Extension!G44:G49-Extension!C44:C49&gt;0)*(Extension!G44:G49-Extension!C44:C49)*(1+$B47)^Extension!M18:M23)+SUMPRODUCT((Extension!G93:G98-Extension!C93:C98&gt;0)*(Extension!G93:G98-Extension!C93:C98)*(1+$B47)^Extension!M67:M72)+SUMPRODUCT((Extension!G142:G147-Extension!C142:C147&gt;0)*(Extension!G142:G147-Extension!C142:C147)*(1+$B47)^Extension!M116:M121)</f>
        <v>12201.170051412551</v>
      </c>
      <c r="F47" s="1"/>
      <c r="G47" s="1"/>
      <c r="H47" s="1"/>
      <c r="I47" s="1"/>
      <c r="J47" s="63">
        <f t="shared" si="1"/>
        <v>11089.137384284513</v>
      </c>
      <c r="K47" s="63">
        <f t="shared" si="2"/>
        <v>13729.408190066541</v>
      </c>
    </row>
    <row r="48" spans="1:11" x14ac:dyDescent="0.3">
      <c r="A48" s="1"/>
      <c r="B48" s="62">
        <v>2.2499999999999999E-2</v>
      </c>
      <c r="C48" s="22">
        <f>SUMPRODUCT((Extension!E44:E49-Extension!C44:C49&gt;0)*(Extension!E44:E49-Extension!C44:C49)*(1+$B48)^Extension!M18:M23)+SUMPRODUCT((Extension!E93:E98-Extension!C93:C98&gt;0)*(Extension!E93:E98-Extension!C93:C98)*(1+$B48)^Extension!M67:M72)+SUMPRODUCT((Extension!E142:E147-Extension!C142:C147&gt;0)*(Extension!E142:E147-Extension!C142:C147)*(1+$B48)^Extension!M116:M121)</f>
        <v>12186.950693413284</v>
      </c>
      <c r="D48" s="22">
        <f>SUMPRODUCT((Extension!F44:F49-Extension!C44:C49&gt;0)*(Extension!F44:F49-Extension!C44:C49)*(1+$B48)^Extension!M18:M23)+SUMPRODUCT((Extension!F93:F98-Extension!C93:C98&gt;0)*(Extension!F93:F98-Extension!C93:C98)*(1+$B48)^Extension!M67:M72)+SUMPRODUCT((Extension!F142:F147-Extension!C142:C147&gt;0)*(Extension!F142:F147-Extension!C142:C147)*(1+$B48)^Extension!M116:M121)</f>
        <v>11920.074077067273</v>
      </c>
      <c r="E48" s="22">
        <f>SUMPRODUCT((Extension!G44:G49-Extension!C44:C49&gt;0)*(Extension!G44:G49-Extension!C44:C49)*(1+$B48)^Extension!M18:M23)+SUMPRODUCT((Extension!G93:G98-Extension!C93:C98&gt;0)*(Extension!G93:G98-Extension!C93:C98)*(1+$B48)^Extension!M67:M72)+SUMPRODUCT((Extension!G142:G147-Extension!C142:C147&gt;0)*(Extension!G142:G147-Extension!C142:C147)*(1+$B48)^Extension!M116:M121)</f>
        <v>12269.708475357531</v>
      </c>
      <c r="F48" s="1"/>
      <c r="G48" s="1"/>
      <c r="H48" s="1"/>
      <c r="I48" s="1"/>
      <c r="J48" s="63">
        <f t="shared" si="1"/>
        <v>11089.137384284513</v>
      </c>
      <c r="K48" s="63">
        <f t="shared" si="2"/>
        <v>13729.408190066541</v>
      </c>
    </row>
    <row r="49" spans="1:11" x14ac:dyDescent="0.3">
      <c r="A49" s="1"/>
      <c r="B49" s="62">
        <v>2.5000000000000001E-2</v>
      </c>
      <c r="C49" s="22">
        <f>SUMPRODUCT((Extension!E44:E49-Extension!C44:C49&gt;0)*(Extension!E44:E49-Extension!C44:C49)*(1+$B49)^Extension!M18:M23)+SUMPRODUCT((Extension!E93:E98-Extension!C93:C98&gt;0)*(Extension!E93:E98-Extension!C93:C98)*(1+$B49)^Extension!M67:M72)+SUMPRODUCT((Extension!E142:E147-Extension!C142:C147&gt;0)*(Extension!E142:E147-Extension!C142:C147)*(1+$B49)^Extension!M116:M121)</f>
        <v>12255.159328605627</v>
      </c>
      <c r="D49" s="22">
        <f>SUMPRODUCT((Extension!F44:F49-Extension!C44:C49&gt;0)*(Extension!F44:F49-Extension!C44:C49)*(1+$B49)^Extension!M18:M23)+SUMPRODUCT((Extension!F93:F98-Extension!C93:C98&gt;0)*(Extension!F93:F98-Extension!C93:C98)*(1+$B49)^Extension!M67:M72)+SUMPRODUCT((Extension!F142:F147-Extension!C142:C147&gt;0)*(Extension!F142:F147-Extension!C142:C147)*(1+$B49)^Extension!M116:M121)</f>
        <v>11986.620255307877</v>
      </c>
      <c r="E49" s="22">
        <f>SUMPRODUCT((Extension!G44:G49-Extension!C44:C49&gt;0)*(Extension!G44:G49-Extension!C44:C49)*(1+$B49)^Extension!M18:M23)+SUMPRODUCT((Extension!G93:G98-Extension!C93:C98&gt;0)*(Extension!G93:G98-Extension!C93:C98)*(1+$B49)^Extension!M67:M72)+SUMPRODUCT((Extension!G142:G147-Extension!C142:C147&gt;0)*(Extension!G142:G147-Extension!C142:C147)*(1+$B49)^Extension!M116:M121)</f>
        <v>12338.466840125315</v>
      </c>
      <c r="F49" s="1"/>
      <c r="G49" s="1"/>
      <c r="H49" s="1"/>
      <c r="I49" s="1"/>
      <c r="J49" s="63">
        <f t="shared" si="1"/>
        <v>11089.137384284513</v>
      </c>
      <c r="K49" s="63">
        <f t="shared" si="2"/>
        <v>13729.408190066541</v>
      </c>
    </row>
    <row r="50" spans="1:11" x14ac:dyDescent="0.3">
      <c r="A50" s="1"/>
      <c r="B50" s="62">
        <v>2.75E-2</v>
      </c>
      <c r="C50" s="22">
        <f>SUMPRODUCT((Extension!E44:E49-Extension!C44:C49&gt;0)*(Extension!E44:E49-Extension!C44:C49)*(1+$B50)^Extension!M18:M23)+SUMPRODUCT((Extension!E93:E98-Extension!C93:C98&gt;0)*(Extension!E93:E98-Extension!C93:C98)*(1+$B50)^Extension!M67:M72)+SUMPRODUCT((Extension!E142:E147-Extension!C142:C147&gt;0)*(Extension!E142:E147-Extension!C142:C147)*(1+$B50)^Extension!M116:M121)</f>
        <v>12323.585825506128</v>
      </c>
      <c r="D50" s="22">
        <f>SUMPRODUCT((Extension!F44:F49-Extension!C44:C49&gt;0)*(Extension!F44:F49-Extension!C44:C49)*(1+$B50)^Extension!M18:M23)+SUMPRODUCT((Extension!F93:F98-Extension!C93:C98&gt;0)*(Extension!F93:F98-Extension!C93:C98)*(1+$B50)^Extension!M67:M72)+SUMPRODUCT((Extension!F142:F147-Extension!C142:C147&gt;0)*(Extension!F142:F147-Extension!C142:C147)*(1+$B50)^Extension!M116:M121)</f>
        <v>12053.378231064931</v>
      </c>
      <c r="E50" s="22">
        <f>SUMPRODUCT((Extension!G44:G49-Extension!C44:C49&gt;0)*(Extension!G44:G49-Extension!C44:C49)*(1+$B50)^Extension!M18:M23)+SUMPRODUCT((Extension!G93:G98-Extension!C93:C98&gt;0)*(Extension!G93:G98-Extension!C93:C98)*(1+$B50)^Extension!M67:M72)+SUMPRODUCT((Extension!G142:G147-Extension!C142:C147&gt;0)*(Extension!G142:G147-Extension!C142:C147)*(1+$B50)^Extension!M116:M121)</f>
        <v>12407.445334386091</v>
      </c>
      <c r="F50" s="1"/>
      <c r="G50" s="1"/>
      <c r="H50" s="1"/>
      <c r="I50" s="1"/>
      <c r="J50" s="63">
        <f t="shared" si="1"/>
        <v>11089.137384284513</v>
      </c>
      <c r="K50" s="63">
        <f t="shared" si="2"/>
        <v>13729.408190066541</v>
      </c>
    </row>
    <row r="51" spans="1:11" x14ac:dyDescent="0.3">
      <c r="A51" s="1"/>
      <c r="B51" s="62">
        <v>0.03</v>
      </c>
      <c r="C51" s="22">
        <f>SUMPRODUCT((Extension!E44:E49-Extension!C44:C49&gt;0)*(Extension!E44:E49-Extension!C44:C49)*(1+$B51)^Extension!M18:M23)+SUMPRODUCT((Extension!E93:E98-Extension!C93:C98&gt;0)*(Extension!E93:E98-Extension!C93:C98)*(1+$B51)^Extension!M67:M72)+SUMPRODUCT((Extension!E142:E147-Extension!C142:C147&gt;0)*(Extension!E142:E147-Extension!C142:C147)*(1+$B51)^Extension!M116:M121)</f>
        <v>12392.230368938683</v>
      </c>
      <c r="D51" s="22">
        <f>SUMPRODUCT((Extension!F44:F49-Extension!C44:C49&gt;0)*(Extension!F44:F49-Extension!C44:C49)*(1+$B51)^Extension!M18:M23)+SUMPRODUCT((Extension!F93:F98-Extension!C93:C98&gt;0)*(Extension!F93:F98-Extension!C93:C98)*(1+$B51)^Extension!M67:M72)+SUMPRODUCT((Extension!F142:F147-Extension!C142:C147&gt;0)*(Extension!F142:F147-Extension!C142:C147)*(1+$B51)^Extension!M116:M121)</f>
        <v>12120.348182336566</v>
      </c>
      <c r="E51" s="22">
        <f>SUMPRODUCT((Extension!G44:G49-Extension!C44:C49&gt;0)*(Extension!G44:G49-Extension!C44:C49)*(1+$B51)^Extension!M18:M23)+SUMPRODUCT((Extension!G93:G98-Extension!C93:C98&gt;0)*(Extension!G93:G98-Extension!C93:C98)*(1+$B51)^Extension!M67:M72)+SUMPRODUCT((Extension!G142:G147-Extension!C142:C147&gt;0)*(Extension!G142:G147-Extension!C142:C147)*(1+$B51)^Extension!M116:M121)</f>
        <v>12476.644146587147</v>
      </c>
      <c r="F51" s="1"/>
      <c r="G51" s="1"/>
      <c r="H51" s="1"/>
      <c r="I51" s="1"/>
      <c r="J51" s="63">
        <f t="shared" si="1"/>
        <v>11089.137384284513</v>
      </c>
      <c r="K51" s="63">
        <f t="shared" si="2"/>
        <v>13729.408190066541</v>
      </c>
    </row>
    <row r="52" spans="1:11" x14ac:dyDescent="0.3">
      <c r="A52" s="1"/>
      <c r="B52" s="62">
        <v>3.2500000000000001E-2</v>
      </c>
      <c r="C52" s="22">
        <f>SUMPRODUCT((Extension!E44:E49-Extension!C44:C49&gt;0)*(Extension!E44:E49-Extension!C44:C49)*(1+$B52)^Extension!M18:M23)+SUMPRODUCT((Extension!E93:E98-Extension!C93:C98&gt;0)*(Extension!E93:E98-Extension!C93:C98)*(1+$B52)^Extension!M67:M72)+SUMPRODUCT((Extension!E142:E147-Extension!C142:C147&gt;0)*(Extension!E142:E147-Extension!C142:C147)*(1+$B52)^Extension!M116:M121)</f>
        <v>12461.093143508788</v>
      </c>
      <c r="D52" s="22">
        <f>SUMPRODUCT((Extension!F44:F49-Extension!C44:C49&gt;0)*(Extension!F44:F49-Extension!C44:C49)*(1+$B52)^Extension!M18:M23)+SUMPRODUCT((Extension!F93:F98-Extension!C93:C98&gt;0)*(Extension!F93:F98-Extension!C93:C98)*(1+$B52)^Extension!M67:M72)+SUMPRODUCT((Extension!F142:F147-Extension!C142:C147&gt;0)*(Extension!F142:F147-Extension!C142:C147)*(1+$B52)^Extension!M116:M121)</f>
        <v>12187.530286910172</v>
      </c>
      <c r="E52" s="22">
        <f>SUMPRODUCT((Extension!G44:G49-Extension!C44:C49&gt;0)*(Extension!G44:G49-Extension!C44:C49)*(1+$B52)^Extension!M18:M23)+SUMPRODUCT((Extension!G93:G98-Extension!C93:C98&gt;0)*(Extension!G93:G98-Extension!C93:C98)*(1+$B52)^Extension!M67:M72)+SUMPRODUCT((Extension!G142:G147-Extension!C142:C147&gt;0)*(Extension!G142:G147-Extension!C142:C147)*(1+$B52)^Extension!M116:M121)</f>
        <v>12546.063464953771</v>
      </c>
      <c r="F52" s="1"/>
      <c r="G52" s="1"/>
      <c r="H52" s="1"/>
      <c r="I52" s="1"/>
      <c r="J52" s="63">
        <f t="shared" si="1"/>
        <v>11089.137384284513</v>
      </c>
      <c r="K52" s="63">
        <f t="shared" si="2"/>
        <v>13729.408190066541</v>
      </c>
    </row>
    <row r="53" spans="1:11" x14ac:dyDescent="0.3">
      <c r="A53" s="1"/>
      <c r="B53" s="62">
        <v>3.5000000000000003E-2</v>
      </c>
      <c r="C53" s="22">
        <f>SUMPRODUCT((Extension!E44:E49-Extension!C44:C49&gt;0)*(Extension!E44:E49-Extension!C44:C49)*(1+$B53)^Extension!M18:M23)+SUMPRODUCT((Extension!E93:E98-Extension!C93:C98&gt;0)*(Extension!E93:E98-Extension!C93:C98)*(1+$B53)^Extension!M67:M72)+SUMPRODUCT((Extension!E142:E147-Extension!C142:C147&gt;0)*(Extension!E142:E147-Extension!C142:C147)*(1+$B53)^Extension!M116:M121)</f>
        <v>12530.174333604369</v>
      </c>
      <c r="D53" s="22">
        <f>SUMPRODUCT((Extension!F44:F49-Extension!C44:C49&gt;0)*(Extension!F44:F49-Extension!C44:C49)*(1+$B53)^Extension!M18:M23)+SUMPRODUCT((Extension!F93:F98-Extension!C93:C98&gt;0)*(Extension!F93:F98-Extension!C93:C98)*(1+$B53)^Extension!M67:M72)+SUMPRODUCT((Extension!F142:F147-Extension!C142:C147&gt;0)*(Extension!F142:F147-Extension!C142:C147)*(1+$B53)^Extension!M116:M121)</f>
        <v>12254.924722363197</v>
      </c>
      <c r="E53" s="22">
        <f>SUMPRODUCT((Extension!G44:G49-Extension!C44:C49&gt;0)*(Extension!G44:G49-Extension!C44:C49)*(1+$B53)^Extension!M18:M23)+SUMPRODUCT((Extension!G93:G98-Extension!C93:C98&gt;0)*(Extension!G93:G98-Extension!C93:C98)*(1+$B53)^Extension!M67:M72)+SUMPRODUCT((Extension!G142:G147-Extension!C142:C147&gt;0)*(Extension!G142:G147-Extension!C142:C147)*(1+$B53)^Extension!M116:M121)</f>
        <v>12615.703477490097</v>
      </c>
      <c r="F53" s="1"/>
      <c r="G53" s="1"/>
      <c r="H53" s="1"/>
      <c r="I53" s="1"/>
      <c r="J53" s="63">
        <f t="shared" si="1"/>
        <v>11089.137384284513</v>
      </c>
      <c r="K53" s="63">
        <f t="shared" si="2"/>
        <v>13729.408190066541</v>
      </c>
    </row>
    <row r="54" spans="1:11" x14ac:dyDescent="0.3">
      <c r="A54" s="1"/>
      <c r="B54" s="62">
        <v>3.7499999999999999E-2</v>
      </c>
      <c r="C54" s="22">
        <f>SUMPRODUCT((Extension!E44:E49-Extension!C44:C49&gt;0)*(Extension!E44:E49-Extension!C44:C49)*(1+$B54)^Extension!M18:M23)+SUMPRODUCT((Extension!E93:E98-Extension!C93:C98&gt;0)*(Extension!E93:E98-Extension!C93:C98)*(1+$B54)^Extension!M67:M72)+SUMPRODUCT((Extension!E142:E147-Extension!C142:C147&gt;0)*(Extension!E142:E147-Extension!C142:C147)*(1+$B54)^Extension!M116:M121)</f>
        <v>12599.474123396629</v>
      </c>
      <c r="D54" s="22">
        <f>SUMPRODUCT((Extension!F44:F49-Extension!C44:C49&gt;0)*(Extension!F44:F49-Extension!C44:C49)*(1+$B54)^Extension!M18:M23)+SUMPRODUCT((Extension!F93:F98-Extension!C93:C98&gt;0)*(Extension!F93:F98-Extension!C93:C98)*(1+$B54)^Extension!M67:M72)+SUMPRODUCT((Extension!F142:F147-Extension!C142:C147&gt;0)*(Extension!F142:F147-Extension!C142:C147)*(1+$B54)^Extension!M116:M121)</f>
        <v>12322.531666063951</v>
      </c>
      <c r="E54" s="22">
        <f>SUMPRODUCT((Extension!G44:G49-Extension!C44:C49&gt;0)*(Extension!G44:G49-Extension!C44:C49)*(1+$B54)^Extension!M18:M23)+SUMPRODUCT((Extension!G93:G98-Extension!C93:C98&gt;0)*(Extension!G93:G98-Extension!C93:C98)*(1+$B54)^Extension!M67:M72)+SUMPRODUCT((Extension!G142:G147-Extension!C142:C147&gt;0)*(Extension!G142:G147-Extension!C142:C147)*(1+$B54)^Extension!M116:M121)</f>
        <v>12685.564371979952</v>
      </c>
      <c r="F54" s="1"/>
      <c r="G54" s="1"/>
      <c r="H54" s="1"/>
      <c r="I54" s="1"/>
      <c r="J54" s="63">
        <f t="shared" si="1"/>
        <v>11089.137384284513</v>
      </c>
      <c r="K54" s="63">
        <f t="shared" si="2"/>
        <v>13729.408190066541</v>
      </c>
    </row>
    <row r="55" spans="1:11" x14ac:dyDescent="0.3">
      <c r="A55" s="1"/>
      <c r="B55" s="62">
        <v>0.04</v>
      </c>
      <c r="C55" s="22">
        <f>SUMPRODUCT((Extension!E44:E49-Extension!C44:C49&gt;0)*(Extension!E44:E49-Extension!C44:C49)*(1+$B55)^Extension!M18:M23)+SUMPRODUCT((Extension!E93:E98-Extension!C93:C98&gt;0)*(Extension!E93:E98-Extension!C93:C98)*(1+$B55)^Extension!M67:M72)+SUMPRODUCT((Extension!E142:E147-Extension!C142:C147&gt;0)*(Extension!E142:E147-Extension!C142:C147)*(1+$B55)^Extension!M116:M121)</f>
        <v>12668.992696840862</v>
      </c>
      <c r="D55" s="22">
        <f>SUMPRODUCT((Extension!F44:F49-Extension!C44:C49&gt;0)*(Extension!F44:F49-Extension!C44:C49)*(1+$B55)^Extension!M18:M23)+SUMPRODUCT((Extension!F93:F98-Extension!C93:C98&gt;0)*(Extension!F93:F98-Extension!C93:C98)*(1+$B55)^Extension!M67:M72)+SUMPRODUCT((Extension!F142:F147-Extension!C142:C147&gt;0)*(Extension!F142:F147-Extension!C142:C147)*(1+$B55)^Extension!M116:M121)</f>
        <v>12390.351295172401</v>
      </c>
      <c r="E55" s="22">
        <f>SUMPRODUCT((Extension!G44:G49-Extension!C44:C49&gt;0)*(Extension!G44:G49-Extension!C44:C49)*(1+$B55)^Extension!M18:M23)+SUMPRODUCT((Extension!G93:G98-Extension!C93:C98&gt;0)*(Extension!G93:G98-Extension!C93:C98)*(1+$B55)^Extension!M67:M72)+SUMPRODUCT((Extension!G142:G147-Extension!C142:C147&gt;0)*(Extension!G142:G147-Extension!C142:C147)*(1+$B55)^Extension!M116:M121)</f>
        <v>12755.646335987694</v>
      </c>
      <c r="F55" s="1"/>
      <c r="G55" s="1"/>
      <c r="H55" s="1"/>
      <c r="I55" s="1"/>
      <c r="J55" s="63">
        <f t="shared" si="1"/>
        <v>11089.137384284513</v>
      </c>
      <c r="K55" s="63">
        <f t="shared" si="2"/>
        <v>13729.408190066541</v>
      </c>
    </row>
    <row r="56" spans="1:11" x14ac:dyDescent="0.3">
      <c r="A56" s="1"/>
      <c r="B56" s="62">
        <v>4.2500000000000003E-2</v>
      </c>
      <c r="C56" s="22">
        <f>SUMPRODUCT((Extension!E44:E49-Extension!C44:C49&gt;0)*(Extension!E44:E49-Extension!C44:C49)*(1+$B56)^Extension!M18:M23)+SUMPRODUCT((Extension!E93:E98-Extension!C93:C98&gt;0)*(Extension!E93:E98-Extension!C93:C98)*(1+$B56)^Extension!M67:M72)+SUMPRODUCT((Extension!E142:E147-Extension!C142:C147&gt;0)*(Extension!E142:E147-Extension!C142:C147)*(1+$B56)^Extension!M116:M121)</f>
        <v>12738.730237677319</v>
      </c>
      <c r="D56" s="22">
        <f>SUMPRODUCT((Extension!F44:F49-Extension!C44:C49&gt;0)*(Extension!F44:F49-Extension!C44:C49)*(1+$B56)^Extension!M18:M23)+SUMPRODUCT((Extension!F93:F98-Extension!C93:C98&gt;0)*(Extension!F93:F98-Extension!C93:C98)*(1+$B56)^Extension!M67:M72)+SUMPRODUCT((Extension!F142:F147-Extension!C142:C147&gt;0)*(Extension!F142:F147-Extension!C142:C147)*(1+$B56)^Extension!M116:M121)</f>
        <v>12458.383786640999</v>
      </c>
      <c r="E56" s="22">
        <f>SUMPRODUCT((Extension!G44:G49-Extension!C44:C49&gt;0)*(Extension!G44:G49-Extension!C44:C49)*(1+$B56)^Extension!M18:M23)+SUMPRODUCT((Extension!G93:G98-Extension!C93:C98&gt;0)*(Extension!G93:G98-Extension!C93:C98)*(1+$B56)^Extension!M67:M72)+SUMPRODUCT((Extension!G142:G147-Extension!C142:C147&gt;0)*(Extension!G142:G147-Extension!C142:C147)*(1+$B56)^Extension!M116:M121)</f>
        <v>12825.949556859085</v>
      </c>
      <c r="F56" s="1"/>
      <c r="G56" s="1"/>
      <c r="H56" s="1"/>
      <c r="I56" s="1"/>
      <c r="J56" s="63">
        <f t="shared" si="1"/>
        <v>11089.137384284513</v>
      </c>
      <c r="K56" s="63">
        <f t="shared" si="2"/>
        <v>13729.408190066541</v>
      </c>
    </row>
    <row r="57" spans="1:11" x14ac:dyDescent="0.3">
      <c r="A57" s="1"/>
      <c r="B57" s="62">
        <v>4.4999999999999998E-2</v>
      </c>
      <c r="C57" s="22">
        <f>SUMPRODUCT((Extension!E44:E49-Extension!C44:C49&gt;0)*(Extension!E44:E49-Extension!C44:C49)*(1+$B57)^Extension!M18:M23)+SUMPRODUCT((Extension!E93:E98-Extension!C93:C98&gt;0)*(Extension!E93:E98-Extension!C93:C98)*(1+$B57)^Extension!M67:M72)+SUMPRODUCT((Extension!E142:E147-Extension!C142:C147&gt;0)*(Extension!E142:E147-Extension!C142:C147)*(1+$B57)^Extension!M116:M121)</f>
        <v>12808.686929432009</v>
      </c>
      <c r="D57" s="22">
        <f>SUMPRODUCT((Extension!F44:F49-Extension!C44:C49&gt;0)*(Extension!F44:F49-Extension!C44:C49)*(1+$B57)^Extension!M18:M23)+SUMPRODUCT((Extension!F93:F98-Extension!C93:C98&gt;0)*(Extension!F93:F98-Extension!C93:C98)*(1+$B57)^Extension!M67:M72)+SUMPRODUCT((Extension!F142:F147-Extension!C142:C147&gt;0)*(Extension!F142:F147-Extension!C142:C147)*(1+$B57)^Extension!M116:M121)</f>
        <v>12526.629317215446</v>
      </c>
      <c r="E57" s="22">
        <f>SUMPRODUCT((Extension!G44:G49-Extension!C44:C49&gt;0)*(Extension!G44:G49-Extension!C44:C49)*(1+$B57)^Extension!M18:M23)+SUMPRODUCT((Extension!G93:G98-Extension!C93:C98&gt;0)*(Extension!G93:G98-Extension!C93:C98)*(1+$B57)^Extension!M67:M72)+SUMPRODUCT((Extension!G142:G147-Extension!C142:C147&gt;0)*(Extension!G142:G147-Extension!C142:C147)*(1+$B57)^Extension!M116:M121)</f>
        <v>12896.474221722103</v>
      </c>
      <c r="F57" s="1"/>
      <c r="G57" s="1"/>
      <c r="H57" s="1"/>
      <c r="I57" s="1"/>
      <c r="J57" s="63">
        <f t="shared" si="1"/>
        <v>11089.137384284513</v>
      </c>
      <c r="K57" s="63">
        <f t="shared" si="2"/>
        <v>13729.408190066541</v>
      </c>
    </row>
    <row r="58" spans="1:11" x14ac:dyDescent="0.3">
      <c r="A58" s="1"/>
      <c r="B58" s="62">
        <v>4.7500000000000001E-2</v>
      </c>
      <c r="C58" s="22">
        <f>SUMPRODUCT((Extension!E44:E49-Extension!C44:C49&gt;0)*(Extension!E44:E49-Extension!C44:C49)*(1+$B58)^Extension!M18:M23)+SUMPRODUCT((Extension!E93:E98-Extension!C93:C98&gt;0)*(Extension!E93:E98-Extension!C93:C98)*(1+$B58)^Extension!M67:M72)+SUMPRODUCT((Extension!E142:E147-Extension!C142:C147&gt;0)*(Extension!E142:E147-Extension!C142:C147)*(1+$B58)^Extension!M116:M121)</f>
        <v>12878.862955417531</v>
      </c>
      <c r="D58" s="22">
        <f>SUMPRODUCT((Extension!F44:F49-Extension!C44:C49&gt;0)*(Extension!F44:F49-Extension!C44:C49)*(1+$B58)^Extension!M18:M23)+SUMPRODUCT((Extension!F93:F98-Extension!C93:C98&gt;0)*(Extension!F93:F98-Extension!C93:C98)*(1+$B58)^Extension!M67:M72)+SUMPRODUCT((Extension!F142:F147-Extension!C142:C147&gt;0)*(Extension!F142:F147-Extension!C142:C147)*(1+$B58)^Extension!M116:M121)</f>
        <v>12595.088063435496</v>
      </c>
      <c r="E58" s="22">
        <f>SUMPRODUCT((Extension!G44:G49-Extension!C44:C49&gt;0)*(Extension!G44:G49-Extension!C44:C49)*(1+$B58)^Extension!M18:M23)+SUMPRODUCT((Extension!G93:G98-Extension!C93:C98&gt;0)*(Extension!G93:G98-Extension!C93:C98)*(1+$B58)^Extension!M67:M72)+SUMPRODUCT((Extension!G142:G147-Extension!C142:C147&gt;0)*(Extension!G142:G147-Extension!C142:C147)*(1+$B58)^Extension!M116:M121)</f>
        <v>12967.220517487785</v>
      </c>
      <c r="F58" s="1"/>
      <c r="G58" s="1"/>
      <c r="H58" s="1"/>
      <c r="I58" s="1"/>
      <c r="J58" s="63">
        <f t="shared" si="1"/>
        <v>11089.137384284513</v>
      </c>
      <c r="K58" s="63">
        <f t="shared" si="2"/>
        <v>13729.408190066541</v>
      </c>
    </row>
    <row r="59" spans="1:11" x14ac:dyDescent="0.3">
      <c r="A59" s="1"/>
      <c r="B59" s="62">
        <v>0.05</v>
      </c>
      <c r="C59" s="22">
        <f>SUMPRODUCT((Extension!E44:E49-Extension!C44:C49&gt;0)*(Extension!E44:E49-Extension!C44:C49)*(1+$B59)^Extension!M18:M23)+SUMPRODUCT((Extension!E93:E98-Extension!C93:C98&gt;0)*(Extension!E93:E98-Extension!C93:C98)*(1+$B59)^Extension!M67:M72)+SUMPRODUCT((Extension!E142:E147-Extension!C142:C147&gt;0)*(Extension!E142:E147-Extension!C142:C147)*(1+$B59)^Extension!M116:M121)</f>
        <v>12949.258498733871</v>
      </c>
      <c r="D59" s="22">
        <f>SUMPRODUCT((Extension!F44:F49-Extension!C44:C49&gt;0)*(Extension!F44:F49-Extension!C44:C49)*(1+$B59)^Extension!M18:M23)+SUMPRODUCT((Extension!F93:F98-Extension!C93:C98&gt;0)*(Extension!F93:F98-Extension!C93:C98)*(1+$B59)^Extension!M67:M72)+SUMPRODUCT((Extension!F142:F147-Extension!C142:C147&gt;0)*(Extension!F142:F147-Extension!C142:C147)*(1+$B59)^Extension!M116:M121)</f>
        <v>12663.760201635721</v>
      </c>
      <c r="E59" s="22">
        <f>SUMPRODUCT((Extension!G44:G49-Extension!C44:C49&gt;0)*(Extension!G44:G49-Extension!C44:C49)*(1+$B59)^Extension!M18:M23)+SUMPRODUCT((Extension!G93:G98-Extension!C93:C98&gt;0)*(Extension!G93:G98-Extension!C93:C98)*(1+$B59)^Extension!M67:M72)+SUMPRODUCT((Extension!G142:G147-Extension!C142:C147&gt;0)*(Extension!G142:G147-Extension!C142:C147)*(1+$B59)^Extension!M116:M121)</f>
        <v>13038.188630851035</v>
      </c>
      <c r="F59" s="1"/>
      <c r="G59" s="1"/>
      <c r="H59" s="1"/>
      <c r="I59" s="1"/>
      <c r="J59" s="63">
        <f t="shared" si="1"/>
        <v>11089.137384284513</v>
      </c>
      <c r="K59" s="63">
        <f t="shared" si="2"/>
        <v>13729.408190066541</v>
      </c>
    </row>
    <row r="60" spans="1:11" x14ac:dyDescent="0.3">
      <c r="A60" s="1"/>
      <c r="B60" s="62">
        <v>5.2499999999999998E-2</v>
      </c>
      <c r="C60" s="22">
        <f>SUMPRODUCT((Extension!E44:E49-Extension!C44:C49&gt;0)*(Extension!E44:E49-Extension!C44:C49)*(1+$B60)^Extension!M18:M23)+SUMPRODUCT((Extension!E93:E98-Extension!C93:C98&gt;0)*(Extension!E93:E98-Extension!C93:C98)*(1+$B60)^Extension!M67:M72)+SUMPRODUCT((Extension!E142:E147-Extension!C142:C147&gt;0)*(Extension!E142:E147-Extension!C142:C147)*(1+$B60)^Extension!M116:M121)</f>
        <v>13019.873742269232</v>
      </c>
      <c r="D60" s="22">
        <f>SUMPRODUCT((Extension!F44:F49-Extension!C44:C49&gt;0)*(Extension!F44:F49-Extension!C44:C49)*(1+$B60)^Extension!M18:M23)+SUMPRODUCT((Extension!F93:F98-Extension!C93:C98&gt;0)*(Extension!F93:F98-Extension!C93:C98)*(1+$B60)^Extension!M67:M72)+SUMPRODUCT((Extension!F142:F147-Extension!C142:C147&gt;0)*(Extension!F142:F147-Extension!C142:C147)*(1+$B60)^Extension!M116:M121)</f>
        <v>12732.645907946317</v>
      </c>
      <c r="E60" s="22">
        <f>SUMPRODUCT((Extension!G44:G49-Extension!C44:C49&gt;0)*(Extension!G44:G49-Extension!C44:C49)*(1+$B60)^Extension!M18:M23)+SUMPRODUCT((Extension!G93:G98-Extension!C93:C98&gt;0)*(Extension!G93:G98-Extension!C93:C98)*(1+$B60)^Extension!M67:M72)+SUMPRODUCT((Extension!G142:G147-Extension!C142:C147&gt;0)*(Extension!G142:G147-Extension!C142:C147)*(1+$B60)^Extension!M116:M121)</f>
        <v>13109.37874829147</v>
      </c>
      <c r="F60" s="1"/>
      <c r="G60" s="1"/>
      <c r="H60" s="1"/>
      <c r="I60" s="1"/>
      <c r="J60" s="63">
        <f t="shared" si="1"/>
        <v>11089.137384284513</v>
      </c>
      <c r="K60" s="63">
        <f t="shared" si="2"/>
        <v>13729.408190066541</v>
      </c>
    </row>
    <row r="61" spans="1:11" x14ac:dyDescent="0.3">
      <c r="A61" s="1"/>
      <c r="B61" s="62">
        <v>5.5E-2</v>
      </c>
      <c r="C61" s="22">
        <f>SUMPRODUCT((Extension!E44:E49-Extension!C44:C49&gt;0)*(Extension!E44:E49-Extension!C44:C49)*(1+$B61)^Extension!M18:M23)+SUMPRODUCT((Extension!E93:E98-Extension!C93:C98&gt;0)*(Extension!E93:E98-Extension!C93:C98)*(1+$B61)^Extension!M67:M72)+SUMPRODUCT((Extension!E142:E147-Extension!C142:C147&gt;0)*(Extension!E142:E147-Extension!C142:C147)*(1+$B61)^Extension!M116:M121)</f>
        <v>13090.708868700836</v>
      </c>
      <c r="D61" s="22">
        <f>SUMPRODUCT((Extension!F44:F49-Extension!C44:C49&gt;0)*(Extension!F44:F49-Extension!C44:C49)*(1+$B61)^Extension!M18:M23)+SUMPRODUCT((Extension!F93:F98-Extension!C93:C98&gt;0)*(Extension!F93:F98-Extension!C93:C98)*(1+$B61)^Extension!M67:M72)+SUMPRODUCT((Extension!F142:F147-Extension!C142:C147&gt;0)*(Extension!F142:F147-Extension!C142:C147)*(1+$B61)^Extension!M116:M121)</f>
        <v>12801.745358293852</v>
      </c>
      <c r="E61" s="22">
        <f>SUMPRODUCT((Extension!G44:G49-Extension!C44:C49&gt;0)*(Extension!G44:G49-Extension!C44:C49)*(1+$B61)^Extension!M18:M23)+SUMPRODUCT((Extension!G93:G98-Extension!C93:C98&gt;0)*(Extension!G93:G98-Extension!C93:C98)*(1+$B61)^Extension!M67:M72)+SUMPRODUCT((Extension!G142:G147-Extension!C142:C147&gt;0)*(Extension!G142:G147-Extension!C142:C147)*(1+$B61)^Extension!M116:M121)</f>
        <v>13180.791056074229</v>
      </c>
      <c r="F61" s="1"/>
      <c r="G61" s="1"/>
      <c r="H61" s="1"/>
      <c r="I61" s="1"/>
      <c r="J61" s="63">
        <f t="shared" si="1"/>
        <v>11089.137384284513</v>
      </c>
      <c r="K61" s="63">
        <f t="shared" si="2"/>
        <v>13729.408190066541</v>
      </c>
    </row>
    <row r="62" spans="1:11" x14ac:dyDescent="0.3">
      <c r="A62" s="1"/>
      <c r="B62" s="62">
        <v>5.7500000000000002E-2</v>
      </c>
      <c r="C62" s="22">
        <f>SUMPRODUCT((Extension!E44:E49-Extension!C44:C49&gt;0)*(Extension!E44:E49-Extension!C44:C49)*(1+$B62)^Extension!M18:M23)+SUMPRODUCT((Extension!E93:E98-Extension!C93:C98&gt;0)*(Extension!E93:E98-Extension!C93:C98)*(1+$B62)^Extension!M67:M72)+SUMPRODUCT((Extension!E142:E147-Extension!C142:C147&gt;0)*(Extension!E142:E147-Extension!C142:C147)*(1+$B62)^Extension!M116:M121)</f>
        <v>13161.764060495716</v>
      </c>
      <c r="D62" s="22">
        <f>SUMPRODUCT((Extension!F44:F49-Extension!C44:C49&gt;0)*(Extension!F44:F49-Extension!C44:C49)*(1+$B62)^Extension!M18:M23)+SUMPRODUCT((Extension!F93:F98-Extension!C93:C98&gt;0)*(Extension!F93:F98-Extension!C93:C98)*(1+$B62)^Extension!M67:M72)+SUMPRODUCT((Extension!F142:F147-Extension!C142:C147&gt;0)*(Extension!F142:F147-Extension!C142:C147)*(1+$B62)^Extension!M116:M121)</f>
        <v>12871.058728402055</v>
      </c>
      <c r="E62" s="22">
        <f>SUMPRODUCT((Extension!G44:G49-Extension!C44:C49&gt;0)*(Extension!G44:G49-Extension!C44:C49)*(1+$B62)^Extension!M18:M23)+SUMPRODUCT((Extension!G93:G98-Extension!C93:C98&gt;0)*(Extension!G93:G98-Extension!C93:C98)*(1+$B62)^Extension!M67:M72)+SUMPRODUCT((Extension!G142:G147-Extension!C142:C147&gt;0)*(Extension!G142:G147-Extension!C142:C147)*(1+$B62)^Extension!M116:M121)</f>
        <v>13252.425740250781</v>
      </c>
      <c r="F62" s="1"/>
      <c r="G62" s="1"/>
      <c r="H62" s="1"/>
      <c r="I62" s="1"/>
      <c r="J62" s="63">
        <f t="shared" si="1"/>
        <v>11089.137384284513</v>
      </c>
      <c r="K62" s="63">
        <f t="shared" si="2"/>
        <v>13729.408190066541</v>
      </c>
    </row>
    <row r="63" spans="1:11" x14ac:dyDescent="0.3">
      <c r="A63" s="1"/>
      <c r="B63" s="62">
        <v>0.06</v>
      </c>
      <c r="C63" s="22">
        <f>SUMPRODUCT((Extension!E44:E49-Extension!C44:C49&gt;0)*(Extension!E44:E49-Extension!C44:C49)*(1+$B63)^Extension!M18:M23)+SUMPRODUCT((Extension!E93:E98-Extension!C93:C98&gt;0)*(Extension!E93:E98-Extension!C93:C98)*(1+$B63)^Extension!M67:M72)+SUMPRODUCT((Extension!E142:E147-Extension!C142:C147&gt;0)*(Extension!E142:E147-Extension!C142:C147)*(1+$B63)^Extension!M116:M121)</f>
        <v>13233.039499911501</v>
      </c>
      <c r="D63" s="22">
        <f>SUMPRODUCT((Extension!F44:F49-Extension!C44:C49&gt;0)*(Extension!F44:F49-Extension!C44:C49)*(1+$B63)^Extension!M18:M23)+SUMPRODUCT((Extension!F93:F98-Extension!C93:C98&gt;0)*(Extension!F93:F98-Extension!C93:C98)*(1+$B63)^Extension!M67:M72)+SUMPRODUCT((Extension!F142:F147-Extension!C142:C147&gt;0)*(Extension!F142:F147-Extension!C142:C147)*(1+$B63)^Extension!M116:M121)</f>
        <v>12940.586193792553</v>
      </c>
      <c r="E63" s="22">
        <f>SUMPRODUCT((Extension!G44:G49-Extension!C44:C49&gt;0)*(Extension!G44:G49-Extension!C44:C49)*(1+$B63)^Extension!M18:M23)+SUMPRODUCT((Extension!G93:G98-Extension!C93:C98&gt;0)*(Extension!G93:G98-Extension!C93:C98)*(1+$B63)^Extension!M67:M72)+SUMPRODUCT((Extension!G142:G147-Extension!C142:C147&gt;0)*(Extension!G142:G147-Extension!C142:C147)*(1+$B63)^Extension!M116:M121)</f>
        <v>13324.282986659715</v>
      </c>
      <c r="F63" s="1"/>
      <c r="G63" s="1"/>
      <c r="H63" s="1"/>
      <c r="I63" s="1"/>
      <c r="J63" s="63">
        <f t="shared" si="1"/>
        <v>11089.137384284513</v>
      </c>
      <c r="K63" s="63">
        <f t="shared" si="2"/>
        <v>13729.408190066541</v>
      </c>
    </row>
    <row r="64" spans="1:11" x14ac:dyDescent="0.3">
      <c r="A64" s="1"/>
      <c r="B64" s="62">
        <v>6.25E-2</v>
      </c>
      <c r="C64" s="22">
        <f>SUMPRODUCT((Extension!E44:E49-Extension!C44:C49&gt;0)*(Extension!E44:E49-Extension!C44:C49)*(1+$B64)^Extension!M18:M23)+SUMPRODUCT((Extension!E93:E98-Extension!C93:C98&gt;0)*(Extension!E93:E98-Extension!C93:C98)*(1+$B64)^Extension!M67:M72)+SUMPRODUCT((Extension!E142:E147-Extension!C142:C147&gt;0)*(Extension!E142:E147-Extension!C142:C147)*(1+$B64)^Extension!M116:M121)</f>
        <v>13304.535368997233</v>
      </c>
      <c r="D64" s="22">
        <f>SUMPRODUCT((Extension!F44:F49-Extension!C44:C49&gt;0)*(Extension!F44:F49-Extension!C44:C49)*(1+$B64)^Extension!M18:M23)+SUMPRODUCT((Extension!F93:F98-Extension!C93:C98&gt;0)*(Extension!F93:F98-Extension!C93:C98)*(1+$B64)^Extension!M67:M72)+SUMPRODUCT((Extension!F142:F147-Extension!C142:C147&gt;0)*(Extension!F142:F147-Extension!C142:C147)*(1+$B64)^Extension!M116:M121)</f>
        <v>13010.327929785657</v>
      </c>
      <c r="E64" s="22">
        <f>SUMPRODUCT((Extension!G44:G49-Extension!C44:C49&gt;0)*(Extension!G44:G49-Extension!C44:C49)*(1+$B64)^Extension!M18:M23)+SUMPRODUCT((Extension!G93:G98-Extension!C93:C98&gt;0)*(Extension!G93:G98-Extension!C93:C98)*(1+$B64)^Extension!M67:M72)+SUMPRODUCT((Extension!G142:G147-Extension!C142:C147&gt;0)*(Extension!G142:G147-Extension!C142:C147)*(1+$B64)^Extension!M116:M121)</f>
        <v>13396.36298092757</v>
      </c>
      <c r="F64" s="1"/>
      <c r="G64" s="1"/>
      <c r="H64" s="1"/>
      <c r="I64" s="1"/>
      <c r="J64" s="63">
        <f t="shared" si="1"/>
        <v>11089.137384284513</v>
      </c>
      <c r="K64" s="63">
        <f t="shared" si="2"/>
        <v>13729.408190066541</v>
      </c>
    </row>
    <row r="65" spans="1:11" x14ac:dyDescent="0.3">
      <c r="A65" s="1"/>
      <c r="B65" s="62">
        <v>6.5000000000000002E-2</v>
      </c>
      <c r="C65" s="22">
        <f>SUMPRODUCT((Extension!E44:E49-Extension!C44:C49&gt;0)*(Extension!E44:E49-Extension!C44:C49)*(1+$B65)^Extension!M18:M23)+SUMPRODUCT((Extension!E93:E98-Extension!C93:C98&gt;0)*(Extension!E93:E98-Extension!C93:C98)*(1+$B65)^Extension!M67:M72)+SUMPRODUCT((Extension!E142:E147-Extension!C142:C147&gt;0)*(Extension!E142:E147-Extension!C142:C147)*(1+$B65)^Extension!M116:M121)</f>
        <v>13376.251849594133</v>
      </c>
      <c r="D65" s="22">
        <f>SUMPRODUCT((Extension!F44:F49-Extension!C44:C49&gt;0)*(Extension!F44:F49-Extension!C44:C49)*(1+$B65)^Extension!M18:M23)+SUMPRODUCT((Extension!F93:F98-Extension!C93:C98&gt;0)*(Extension!F93:F98-Extension!C93:C98)*(1+$B65)^Extension!M67:M72)+SUMPRODUCT((Extension!F142:F147-Extension!C142:C147&gt;0)*(Extension!F142:F147-Extension!C142:C147)*(1+$B65)^Extension!M116:M121)</f>
        <v>13080.284111501111</v>
      </c>
      <c r="E65" s="22">
        <f>SUMPRODUCT((Extension!G44:G49-Extension!C44:C49&gt;0)*(Extension!G44:G49-Extension!C44:C49)*(1+$B65)^Extension!M18:M23)+SUMPRODUCT((Extension!G93:G98-Extension!C93:C98&gt;0)*(Extension!G93:G98-Extension!C93:C98)*(1+$B65)^Extension!M67:M72)+SUMPRODUCT((Extension!G142:G147-Extension!C142:C147&gt;0)*(Extension!G142:G147-Extension!C142:C147)*(1+$B65)^Extension!M116:M121)</f>
        <v>13468.665908469626</v>
      </c>
      <c r="F65" s="1"/>
      <c r="G65" s="1"/>
      <c r="H65" s="1"/>
      <c r="I65" s="1"/>
      <c r="J65" s="63">
        <f t="shared" si="1"/>
        <v>11089.137384284513</v>
      </c>
      <c r="K65" s="63">
        <f t="shared" si="2"/>
        <v>13729.408190066541</v>
      </c>
    </row>
    <row r="66" spans="1:11" x14ac:dyDescent="0.3">
      <c r="A66" s="1"/>
      <c r="B66" s="62">
        <v>6.7500000000000004E-2</v>
      </c>
      <c r="C66" s="22">
        <f>SUMPRODUCT((Extension!E44:E49-Extension!C44:C49&gt;0)*(Extension!E44:E49-Extension!C44:C49)*(1+$B66)^Extension!M18:M23)+SUMPRODUCT((Extension!E93:E98-Extension!C93:C98&gt;0)*(Extension!E93:E98-Extension!C93:C98)*(1+$B66)^Extension!M67:M72)+SUMPRODUCT((Extension!E142:E147-Extension!C142:C147&gt;0)*(Extension!E142:E147-Extension!C142:C147)*(1+$B66)^Extension!M116:M121)</f>
        <v>13448.189123336389</v>
      </c>
      <c r="D66" s="22">
        <f>SUMPRODUCT((Extension!F44:F49-Extension!C44:C49&gt;0)*(Extension!F44:F49-Extension!C44:C49)*(1+$B66)^Extension!M18:M23)+SUMPRODUCT((Extension!F93:F98-Extension!C93:C98&gt;0)*(Extension!F93:F98-Extension!C93:C98)*(1+$B66)^Extension!M67:M72)+SUMPRODUCT((Extension!F142:F147-Extension!C142:C147&gt;0)*(Extension!F142:F147-Extension!C142:C147)*(1+$B66)^Extension!M116:M121)</f>
        <v>13150.454913858826</v>
      </c>
      <c r="E66" s="22">
        <f>SUMPRODUCT((Extension!G44:G49-Extension!C44:C49&gt;0)*(Extension!G44:G49-Extension!C44:C49)*(1+$B66)^Extension!M18:M23)+SUMPRODUCT((Extension!G93:G98-Extension!C93:C98&gt;0)*(Extension!G93:G98-Extension!C93:C98)*(1+$B66)^Extension!M67:M72)+SUMPRODUCT((Extension!G142:G147-Extension!C142:C147&gt;0)*(Extension!G142:G147-Extension!C142:C147)*(1+$B66)^Extension!M116:M121)</f>
        <v>13541.19195449067</v>
      </c>
      <c r="F66" s="1"/>
      <c r="G66" s="1"/>
      <c r="H66" s="1"/>
      <c r="I66" s="1"/>
      <c r="J66" s="63">
        <f t="shared" si="1"/>
        <v>11089.137384284513</v>
      </c>
      <c r="K66" s="63">
        <f t="shared" si="2"/>
        <v>13729.408190066541</v>
      </c>
    </row>
    <row r="67" spans="1:11" x14ac:dyDescent="0.3">
      <c r="A67" s="1"/>
      <c r="B67" s="62">
        <v>7.0000000000000007E-2</v>
      </c>
      <c r="C67" s="22">
        <f>SUMPRODUCT((Extension!E44:E49-Extension!C44:C49&gt;0)*(Extension!E44:E49-Extension!C44:C49)*(1+$B67)^Extension!M18:M23)+SUMPRODUCT((Extension!E93:E98-Extension!C93:C98&gt;0)*(Extension!E93:E98-Extension!C93:C98)*(1+$B67)^Extension!M67:M72)+SUMPRODUCT((Extension!E142:E147-Extension!C142:C147&gt;0)*(Extension!E142:E147-Extension!C142:C147)*(1+$B67)^Extension!M116:M121)</f>
        <v>13520.347371651929</v>
      </c>
      <c r="D67" s="22">
        <f>SUMPRODUCT((Extension!F44:F49-Extension!C44:C49&gt;0)*(Extension!F44:F49-Extension!C44:C49)*(1+$B67)^Extension!M18:M23)+SUMPRODUCT((Extension!F93:F98-Extension!C93:C98&gt;0)*(Extension!F93:F98-Extension!C93:C98)*(1+$B67)^Extension!M67:M72)+SUMPRODUCT((Extension!F142:F147-Extension!C142:C147&gt;0)*(Extension!F142:F147-Extension!C142:C147)*(1+$B67)^Extension!M116:M121)</f>
        <v>13220.840511579656</v>
      </c>
      <c r="E67" s="22">
        <f>SUMPRODUCT((Extension!G44:G49-Extension!C44:C49&gt;0)*(Extension!G44:G49-Extension!C44:C49)*(1+$B67)^Extension!M18:M23)+SUMPRODUCT((Extension!G93:G98-Extension!C93:C98&gt;0)*(Extension!G93:G98-Extension!C93:C98)*(1+$B67)^Extension!M67:M72)+SUMPRODUCT((Extension!G142:G147-Extension!C142:C147&gt;0)*(Extension!G142:G147-Extension!C142:C147)*(1+$B67)^Extension!M116:M121)</f>
        <v>13613.941303985823</v>
      </c>
      <c r="F67" s="1"/>
      <c r="G67" s="1"/>
      <c r="H67" s="1"/>
      <c r="I67" s="1"/>
      <c r="J67" s="63">
        <f t="shared" si="1"/>
        <v>11089.137384284513</v>
      </c>
      <c r="K67" s="63">
        <f t="shared" si="2"/>
        <v>13729.408190066541</v>
      </c>
    </row>
    <row r="68" spans="1:11" x14ac:dyDescent="0.3">
      <c r="A68" s="1"/>
      <c r="B68" s="62">
        <v>7.2499999999999995E-2</v>
      </c>
      <c r="C68" s="22">
        <f>SUMPRODUCT((Extension!E44:E49-Extension!C44:C49&gt;0)*(Extension!E44:E49-Extension!C44:C49)*(1+$B68)^Extension!M18:M23)+SUMPRODUCT((Extension!E93:E98-Extension!C93:C98&gt;0)*(Extension!E93:E98-Extension!C93:C98)*(1+$B68)^Extension!M67:M72)+SUMPRODUCT((Extension!E142:E147-Extension!C142:C147&gt;0)*(Extension!E142:E147-Extension!C142:C147)*(1+$B68)^Extension!M116:M121)</f>
        <v>13592.726775763182</v>
      </c>
      <c r="D68" s="22">
        <f>SUMPRODUCT((Extension!F44:F49-Extension!C44:C49&gt;0)*(Extension!F44:F49-Extension!C44:C49)*(1+$B68)^Extension!M18:M23)+SUMPRODUCT((Extension!F93:F98-Extension!C93:C98&gt;0)*(Extension!F93:F98-Extension!C93:C98)*(1+$B68)^Extension!M67:M72)+SUMPRODUCT((Extension!F142:F147-Extension!C142:C147&gt;0)*(Extension!F142:F147-Extension!C142:C147)*(1+$B68)^Extension!M116:M121)</f>
        <v>13291.441079186083</v>
      </c>
      <c r="E68" s="22">
        <f>SUMPRODUCT((Extension!G44:G49-Extension!C44:C49&gt;0)*(Extension!G44:G49-Extension!C44:C49)*(1+$B68)^Extension!M18:M23)+SUMPRODUCT((Extension!G93:G98-Extension!C93:C98&gt;0)*(Extension!G93:G98-Extension!C93:C98)*(1+$B68)^Extension!M67:M72)+SUMPRODUCT((Extension!G142:G147-Extension!C142:C147&gt;0)*(Extension!G142:G147-Extension!C142:C147)*(1+$B68)^Extension!M116:M121)</f>
        <v>13686.914141741265</v>
      </c>
      <c r="F68" s="1"/>
      <c r="G68" s="1"/>
      <c r="H68" s="1"/>
      <c r="I68" s="1"/>
      <c r="J68" s="63">
        <f t="shared" si="1"/>
        <v>11089.137384284513</v>
      </c>
      <c r="K68" s="63">
        <f t="shared" si="2"/>
        <v>13729.408190066541</v>
      </c>
    </row>
    <row r="69" spans="1:11" x14ac:dyDescent="0.3">
      <c r="A69" s="1"/>
      <c r="B69" s="62">
        <v>7.4999999999999997E-2</v>
      </c>
      <c r="C69" s="22">
        <f>SUMPRODUCT((Extension!E44:E49-Extension!C44:C49&gt;0)*(Extension!E44:E49-Extension!C44:C49)*(1+$B69)^Extension!M18:M23)+SUMPRODUCT((Extension!E93:E98-Extension!C93:C98&gt;0)*(Extension!E93:E98-Extension!C93:C98)*(1+$B69)^Extension!M67:M72)+SUMPRODUCT((Extension!E142:E147-Extension!C142:C147&gt;0)*(Extension!E142:E147-Extension!C142:C147)*(1+$B69)^Extension!M116:M121)</f>
        <v>13665.327516687856</v>
      </c>
      <c r="D69" s="22">
        <f>SUMPRODUCT((Extension!F44:F49-Extension!C44:C49&gt;0)*(Extension!F44:F49-Extension!C44:C49)*(1+$B69)^Extension!M18:M23)+SUMPRODUCT((Extension!F93:F98-Extension!C93:C98&gt;0)*(Extension!F93:F98-Extension!C93:C98)*(1+$B69)^Extension!M67:M72)+SUMPRODUCT((Extension!F142:F147-Extension!C142:C147&gt;0)*(Extension!F142:F147-Extension!C142:C147)*(1+$B69)^Extension!M116:M121)</f>
        <v>13362.256791003027</v>
      </c>
      <c r="E69" s="22">
        <f>SUMPRODUCT((Extension!G44:G49-Extension!C44:C49&gt;0)*(Extension!G44:G49-Extension!C44:C49)*(1+$B69)^Extension!M18:M23)+SUMPRODUCT((Extension!G93:G98-Extension!C93:C98&gt;0)*(Extension!G93:G98-Extension!C93:C98)*(1+$B69)^Extension!M67:M72)+SUMPRODUCT((Extension!G142:G147-Extension!C142:C147&gt;0)*(Extension!G142:G147-Extension!C142:C147)*(1+$B69)^Extension!M116:M121)</f>
        <v>13760.110652335077</v>
      </c>
      <c r="F69" s="1"/>
      <c r="G69" s="1"/>
      <c r="H69" s="1"/>
      <c r="I69" s="1"/>
      <c r="J69" s="63">
        <f t="shared" si="1"/>
        <v>11089.137384284513</v>
      </c>
      <c r="K69" s="63">
        <f t="shared" si="2"/>
        <v>13729.408190066541</v>
      </c>
    </row>
    <row r="70" spans="1:11" x14ac:dyDescent="0.3">
      <c r="A70" s="1"/>
      <c r="B70" s="62">
        <v>7.7499999999999999E-2</v>
      </c>
      <c r="C70" s="22">
        <f>SUMPRODUCT((Extension!E44:E49-Extension!C44:C49&gt;0)*(Extension!E44:E49-Extension!C44:C49)*(1+$B70)^Extension!M18:M23)+SUMPRODUCT((Extension!E93:E98-Extension!C93:C98&gt;0)*(Extension!E93:E98-Extension!C93:C98)*(1+$B70)^Extension!M67:M72)+SUMPRODUCT((Extension!E142:E147-Extension!C142:C147&gt;0)*(Extension!E142:E147-Extension!C142:C147)*(1+$B70)^Extension!M116:M121)</f>
        <v>13738.149775239706</v>
      </c>
      <c r="D70" s="22">
        <f>SUMPRODUCT((Extension!F44:F49-Extension!C44:C49&gt;0)*(Extension!F44:F49-Extension!C44:C49)*(1+$B70)^Extension!M18:M23)+SUMPRODUCT((Extension!F93:F98-Extension!C93:C98&gt;0)*(Extension!F93:F98-Extension!C93:C98)*(1+$B70)^Extension!M67:M72)+SUMPRODUCT((Extension!F142:F147-Extension!C142:C147&gt;0)*(Extension!F142:F147-Extension!C142:C147)*(1+$B70)^Extension!M116:M121)</f>
        <v>13433.287821158523</v>
      </c>
      <c r="E70" s="22">
        <f>SUMPRODUCT((Extension!G44:G49-Extension!C44:C49&gt;0)*(Extension!G44:G49-Extension!C44:C49)*(1+$B70)^Extension!M18:M23)+SUMPRODUCT((Extension!G93:G98-Extension!C93:C98&gt;0)*(Extension!G93:G98-Extension!C93:C98)*(1+$B70)^Extension!M67:M72)+SUMPRODUCT((Extension!G142:G147-Extension!C142:C147&gt;0)*(Extension!G142:G147-Extension!C142:C147)*(1+$B70)^Extension!M116:M121)</f>
        <v>13833.531020137969</v>
      </c>
      <c r="F70" s="1"/>
      <c r="G70" s="1"/>
      <c r="H70" s="1"/>
      <c r="I70" s="1"/>
      <c r="J70" s="63">
        <f t="shared" si="1"/>
        <v>11089.137384284513</v>
      </c>
      <c r="K70" s="63">
        <f t="shared" si="2"/>
        <v>13729.408190066541</v>
      </c>
    </row>
    <row r="71" spans="1:11" x14ac:dyDescent="0.3">
      <c r="A71" s="1"/>
      <c r="B71" s="62">
        <v>0.08</v>
      </c>
      <c r="C71" s="22">
        <f>SUMPRODUCT((Extension!E44:E49-Extension!C44:C49&gt;0)*(Extension!E44:E49-Extension!C44:C49)*(1+$B71)^Extension!M18:M23)+SUMPRODUCT((Extension!E93:E98-Extension!C93:C98&gt;0)*(Extension!E93:E98-Extension!C93:C98)*(1+$B71)^Extension!M67:M72)+SUMPRODUCT((Extension!E142:E147-Extension!C142:C147&gt;0)*(Extension!E142:E147-Extension!C142:C147)*(1+$B71)^Extension!M116:M121)</f>
        <v>13811.19373202928</v>
      </c>
      <c r="D71" s="22">
        <f>SUMPRODUCT((Extension!F44:F49-Extension!C44:C49&gt;0)*(Extension!F44:F49-Extension!C44:C49)*(1+$B71)^Extension!M18:M23)+SUMPRODUCT((Extension!F93:F98-Extension!C93:C98&gt;0)*(Extension!F93:F98-Extension!C93:C98)*(1+$B71)^Extension!M67:M72)+SUMPRODUCT((Extension!F142:F147-Extension!C142:C147&gt;0)*(Extension!F142:F147-Extension!C142:C147)*(1+$B71)^Extension!M116:M121)</f>
        <v>13504.534343584473</v>
      </c>
      <c r="E71" s="22">
        <f>SUMPRODUCT((Extension!G44:G49-Extension!C44:C49&gt;0)*(Extension!G44:G49-Extension!C44:C49)*(1+$B71)^Extension!M18:M23)+SUMPRODUCT((Extension!G93:G98-Extension!C93:C98&gt;0)*(Extension!G93:G98-Extension!C93:C98)*(1+$B71)^Extension!M67:M72)+SUMPRODUCT((Extension!G142:G147-Extension!C142:C147&gt;0)*(Extension!G142:G147-Extension!C142:C147)*(1+$B71)^Extension!M116:M121)</f>
        <v>13907.175429314073</v>
      </c>
      <c r="F71" s="1"/>
      <c r="G71" s="1"/>
      <c r="H71" s="1"/>
      <c r="I71" s="1"/>
      <c r="J71" s="63">
        <f t="shared" ref="J71:J87" si="3">$C$26</f>
        <v>11089.137384284513</v>
      </c>
      <c r="K71" s="63">
        <f t="shared" ref="K71:K87" si="4">$C$27</f>
        <v>13729.408190066541</v>
      </c>
    </row>
    <row r="72" spans="1:11" x14ac:dyDescent="0.3">
      <c r="A72" s="1"/>
      <c r="B72" s="62">
        <v>8.2500000000000004E-2</v>
      </c>
      <c r="C72" s="22">
        <f>SUMPRODUCT((Extension!E44:E49-Extension!C44:C49&gt;0)*(Extension!E44:E49-Extension!C44:C49)*(1+$B72)^Extension!M18:M23)+SUMPRODUCT((Extension!E93:E98-Extension!C93:C98&gt;0)*(Extension!E93:E98-Extension!C93:C98)*(1+$B72)^Extension!M67:M72)+SUMPRODUCT((Extension!E142:E147-Extension!C142:C147&gt;0)*(Extension!E142:E147-Extension!C142:C147)*(1+$B72)^Extension!M116:M121)</f>
        <v>13884.45956746465</v>
      </c>
      <c r="D72" s="22">
        <f>SUMPRODUCT((Extension!F44:F49-Extension!C44:C49&gt;0)*(Extension!F44:F49-Extension!C44:C49)*(1+$B72)^Extension!M18:M23)+SUMPRODUCT((Extension!F93:F98-Extension!C93:C98&gt;0)*(Extension!F93:F98-Extension!C93:C98)*(1+$B72)^Extension!M67:M72)+SUMPRODUCT((Extension!F142:F147-Extension!C142:C147&gt;0)*(Extension!F142:F147-Extension!C142:C147)*(1+$B72)^Extension!M116:M121)</f>
        <v>13575.996532017345</v>
      </c>
      <c r="E72" s="22">
        <f>SUMPRODUCT((Extension!G44:G49-Extension!C44:C49&gt;0)*(Extension!G44:G49-Extension!C44:C49)*(1+$B72)^Extension!M18:M23)+SUMPRODUCT((Extension!G93:G98-Extension!C93:C98&gt;0)*(Extension!G93:G98-Extension!C93:C98)*(1+$B72)^Extension!M67:M72)+SUMPRODUCT((Extension!G142:G147-Extension!C142:C147&gt;0)*(Extension!G142:G147-Extension!C142:C147)*(1+$B72)^Extension!M116:M121)</f>
        <v>13981.044063821666</v>
      </c>
      <c r="F72" s="1"/>
      <c r="G72" s="1"/>
      <c r="H72" s="1"/>
      <c r="I72" s="1"/>
      <c r="J72" s="63">
        <f t="shared" si="3"/>
        <v>11089.137384284513</v>
      </c>
      <c r="K72" s="63">
        <f t="shared" si="4"/>
        <v>13729.408190066541</v>
      </c>
    </row>
    <row r="73" spans="1:11" x14ac:dyDescent="0.3">
      <c r="A73" s="1"/>
      <c r="B73" s="62">
        <v>8.5000000000000006E-2</v>
      </c>
      <c r="C73" s="22">
        <f>SUMPRODUCT((Extension!E44:E49-Extension!C44:C49&gt;0)*(Extension!E44:E49-Extension!C44:C49)*(1+$B73)^Extension!M18:M23)+SUMPRODUCT((Extension!E93:E98-Extension!C93:C98&gt;0)*(Extension!E93:E98-Extension!C93:C98)*(1+$B73)^Extension!M67:M72)+SUMPRODUCT((Extension!E142:E147-Extension!C142:C147&gt;0)*(Extension!E142:E147-Extension!C142:C147)*(1+$B73)^Extension!M116:M121)</f>
        <v>13957.94746175221</v>
      </c>
      <c r="D73" s="22">
        <f>SUMPRODUCT((Extension!F44:F49-Extension!C44:C49&gt;0)*(Extension!F44:F49-Extension!C44:C49)*(1+$B73)^Extension!M18:M23)+SUMPRODUCT((Extension!F93:F98-Extension!C93:C98&gt;0)*(Extension!F93:F98-Extension!C93:C98)*(1+$B73)^Extension!M67:M72)+SUMPRODUCT((Extension!F142:F147-Extension!C142:C147&gt;0)*(Extension!F142:F147-Extension!C142:C147)*(1+$B73)^Extension!M116:M121)</f>
        <v>13647.67455999893</v>
      </c>
      <c r="E73" s="22">
        <f>SUMPRODUCT((Extension!G44:G49-Extension!C44:C49&gt;0)*(Extension!G44:G49-Extension!C44:C49)*(1+$B73)^Extension!M18:M23)+SUMPRODUCT((Extension!G93:G98-Extension!C93:C98&gt;0)*(Extension!G93:G98-Extension!C93:C98)*(1+$B73)^Extension!M67:M72)+SUMPRODUCT((Extension!G142:G147-Extension!C142:C147&gt;0)*(Extension!G142:G147-Extension!C142:C147)*(1+$B73)^Extension!M116:M121)</f>
        <v>14055.137107413988</v>
      </c>
      <c r="F73" s="1"/>
      <c r="G73" s="1"/>
      <c r="H73" s="1"/>
      <c r="I73" s="1"/>
      <c r="J73" s="63">
        <f t="shared" si="3"/>
        <v>11089.137384284513</v>
      </c>
      <c r="K73" s="63">
        <f t="shared" si="4"/>
        <v>13729.408190066541</v>
      </c>
    </row>
    <row r="74" spans="1:11" x14ac:dyDescent="0.3">
      <c r="A74" s="1"/>
      <c r="B74" s="62">
        <v>8.7499999999999994E-2</v>
      </c>
      <c r="C74" s="22">
        <f>SUMPRODUCT((Extension!E44:E49-Extension!C44:C49&gt;0)*(Extension!E44:E49-Extension!C44:C49)*(1+$B74)^Extension!M18:M23)+SUMPRODUCT((Extension!E93:E98-Extension!C93:C98&gt;0)*(Extension!E93:E98-Extension!C93:C98)*(1+$B74)^Extension!M67:M72)+SUMPRODUCT((Extension!E142:E147-Extension!C142:C147&gt;0)*(Extension!E142:E147-Extension!C142:C147)*(1+$B74)^Extension!M116:M121)</f>
        <v>14031.657594897379</v>
      </c>
      <c r="D74" s="22">
        <f>SUMPRODUCT((Extension!F44:F49-Extension!C44:C49&gt;0)*(Extension!F44:F49-Extension!C44:C49)*(1+$B74)^Extension!M18:M23)+SUMPRODUCT((Extension!F93:F98-Extension!C93:C98&gt;0)*(Extension!F93:F98-Extension!C93:C98)*(1+$B74)^Extension!M67:M72)+SUMPRODUCT((Extension!F142:F147-Extension!C142:C147&gt;0)*(Extension!F142:F147-Extension!C142:C147)*(1+$B74)^Extension!M116:M121)</f>
        <v>13719.568600877023</v>
      </c>
      <c r="E74" s="22">
        <f>SUMPRODUCT((Extension!G44:G49-Extension!C44:C49&gt;0)*(Extension!G44:G49-Extension!C44:C49)*(1+$B74)^Extension!M18:M23)+SUMPRODUCT((Extension!G93:G98-Extension!C93:C98&gt;0)*(Extension!G93:G98-Extension!C93:C98)*(1+$B74)^Extension!M67:M72)+SUMPRODUCT((Extension!G142:G147-Extension!C142:C147&gt;0)*(Extension!G142:G147-Extension!C142:C147)*(1+$B74)^Extension!M116:M121)</f>
        <v>14129.454743639941</v>
      </c>
      <c r="F74" s="1"/>
      <c r="G74" s="1"/>
      <c r="H74" s="1"/>
      <c r="I74" s="1"/>
      <c r="J74" s="63">
        <f t="shared" si="3"/>
        <v>11089.137384284513</v>
      </c>
      <c r="K74" s="63">
        <f t="shared" si="4"/>
        <v>13729.408190066541</v>
      </c>
    </row>
    <row r="75" spans="1:11" x14ac:dyDescent="0.3">
      <c r="A75" s="1"/>
      <c r="B75" s="62">
        <v>0.09</v>
      </c>
      <c r="C75" s="22">
        <f>SUMPRODUCT((Extension!E44:E49-Extension!C44:C49&gt;0)*(Extension!E44:E49-Extension!C44:C49)*(1+$B75)^Extension!M18:M23)+SUMPRODUCT((Extension!E93:E98-Extension!C93:C98&gt;0)*(Extension!E93:E98-Extension!C93:C98)*(1+$B75)^Extension!M67:M72)+SUMPRODUCT((Extension!E142:E147-Extension!C142:C147&gt;0)*(Extension!E142:E147-Extension!C142:C147)*(1+$B75)^Extension!M116:M121)</f>
        <v>14105.590146705355</v>
      </c>
      <c r="D75" s="22">
        <f>SUMPRODUCT((Extension!F44:F49-Extension!C44:C49&gt;0)*(Extension!F44:F49-Extension!C44:C49)*(1+$B75)^Extension!M18:M23)+SUMPRODUCT((Extension!F93:F98-Extension!C93:C98&gt;0)*(Extension!F93:F98-Extension!C93:C98)*(1+$B75)^Extension!M67:M72)+SUMPRODUCT((Extension!F142:F147-Extension!C142:C147&gt;0)*(Extension!F142:F147-Extension!C142:C147)*(1+$B75)^Extension!M116:M121)</f>
        <v>13791.678827806154</v>
      </c>
      <c r="E75" s="22">
        <f>SUMPRODUCT((Extension!G44:G49-Extension!C44:C49&gt;0)*(Extension!G44:G49-Extension!C44:C49)*(1+$B75)^Extension!M18:M23)+SUMPRODUCT((Extension!G93:G98-Extension!C93:C98&gt;0)*(Extension!G93:G98-Extension!C93:C98)*(1+$B75)^Extension!M67:M72)+SUMPRODUCT((Extension!G142:G147-Extension!C142:C147&gt;0)*(Extension!G142:G147-Extension!C142:C147)*(1+$B75)^Extension!M116:M121)</f>
        <v>14203.997155844878</v>
      </c>
      <c r="F75" s="1"/>
      <c r="G75" s="1"/>
      <c r="H75" s="1"/>
      <c r="I75" s="1"/>
      <c r="J75" s="63">
        <f t="shared" si="3"/>
        <v>11089.137384284513</v>
      </c>
      <c r="K75" s="63">
        <f t="shared" si="4"/>
        <v>13729.408190066541</v>
      </c>
    </row>
    <row r="76" spans="1:11" x14ac:dyDescent="0.3">
      <c r="A76" s="1"/>
      <c r="B76" s="62">
        <v>9.2499999999999999E-2</v>
      </c>
      <c r="C76" s="22">
        <f>SUMPRODUCT((Extension!E44:E49-Extension!C44:C49&gt;0)*(Extension!E44:E49-Extension!C44:C49)*(1+$B76)^Extension!M18:M23)+SUMPRODUCT((Extension!E93:E98-Extension!C93:C98&gt;0)*(Extension!E93:E98-Extension!C93:C98)*(1+$B76)^Extension!M67:M72)+SUMPRODUCT((Extension!E142:E147-Extension!C142:C147&gt;0)*(Extension!E142:E147-Extension!C142:C147)*(1+$B76)^Extension!M116:M121)</f>
        <v>14179.745296781834</v>
      </c>
      <c r="D76" s="22">
        <f>SUMPRODUCT((Extension!F44:F49-Extension!C44:C49&gt;0)*(Extension!F44:F49-Extension!C44:C49)*(1+$B76)^Extension!M18:M23)+SUMPRODUCT((Extension!F93:F98-Extension!C93:C98&gt;0)*(Extension!F93:F98-Extension!C93:C98)*(1+$B76)^Extension!M67:M72)+SUMPRODUCT((Extension!F142:F147-Extension!C142:C147&gt;0)*(Extension!F142:F147-Extension!C142:C147)*(1+$B76)^Extension!M116:M121)</f>
        <v>13864.005413748266</v>
      </c>
      <c r="E76" s="22">
        <f>SUMPRODUCT((Extension!G44:G49-Extension!C44:C49&gt;0)*(Extension!G44:G49-Extension!C44:C49)*(1+$B76)^Extension!M18:M23)+SUMPRODUCT((Extension!G93:G98-Extension!C93:C98&gt;0)*(Extension!G93:G98-Extension!C93:C98)*(1+$B76)^Extension!M67:M72)+SUMPRODUCT((Extension!G142:G147-Extension!C142:C147&gt;0)*(Extension!G142:G147-Extension!C142:C147)*(1+$B76)^Extension!M116:M121)</f>
        <v>14278.764527171312</v>
      </c>
      <c r="F76" s="1"/>
      <c r="G76" s="1"/>
      <c r="H76" s="1"/>
      <c r="I76" s="1"/>
      <c r="J76" s="63">
        <f t="shared" si="3"/>
        <v>11089.137384284513</v>
      </c>
      <c r="K76" s="63">
        <f t="shared" si="4"/>
        <v>13729.408190066541</v>
      </c>
    </row>
    <row r="77" spans="1:11" x14ac:dyDescent="0.3">
      <c r="A77" s="1"/>
      <c r="B77" s="62">
        <v>9.5000000000000001E-2</v>
      </c>
      <c r="C77" s="22">
        <f>SUMPRODUCT((Extension!E44:E49-Extension!C44:C49&gt;0)*(Extension!E44:E49-Extension!C44:C49)*(1+$B77)^Extension!M18:M23)+SUMPRODUCT((Extension!E93:E98-Extension!C93:C98&gt;0)*(Extension!E93:E98-Extension!C93:C98)*(1+$B77)^Extension!M67:M72)+SUMPRODUCT((Extension!E142:E147-Extension!C142:C147&gt;0)*(Extension!E142:E147-Extension!C142:C147)*(1+$B77)^Extension!M116:M121)</f>
        <v>14254.123224533765</v>
      </c>
      <c r="D77" s="22">
        <f>SUMPRODUCT((Extension!F44:F49-Extension!C44:C49&gt;0)*(Extension!F44:F49-Extension!C44:C49)*(1+$B77)^Extension!M18:M23)+SUMPRODUCT((Extension!F93:F98-Extension!C93:C98&gt;0)*(Extension!F93:F98-Extension!C93:C98)*(1+$B77)^Extension!M67:M72)+SUMPRODUCT((Extension!F142:F147-Extension!C142:C147&gt;0)*(Extension!F142:F147-Extension!C142:C147)*(1+$B77)^Extension!M116:M121)</f>
        <v>13936.548531473449</v>
      </c>
      <c r="E77" s="22">
        <f>SUMPRODUCT((Extension!G44:G49-Extension!C44:C49&gt;0)*(Extension!G44:G49-Extension!C44:C49)*(1+$B77)^Extension!M18:M23)+SUMPRODUCT((Extension!G93:G98-Extension!C93:C98&gt;0)*(Extension!G93:G98-Extension!C93:C98)*(1+$B77)^Extension!M67:M72)+SUMPRODUCT((Extension!G142:G147-Extension!C142:C147&gt;0)*(Extension!G142:G147-Extension!C142:C147)*(1+$B77)^Extension!M116:M121)</f>
        <v>14353.757040559689</v>
      </c>
      <c r="F77" s="1"/>
      <c r="G77" s="1"/>
      <c r="H77" s="1"/>
      <c r="I77" s="1"/>
      <c r="J77" s="63">
        <f t="shared" si="3"/>
        <v>11089.137384284513</v>
      </c>
      <c r="K77" s="63">
        <f t="shared" si="4"/>
        <v>13729.408190066541</v>
      </c>
    </row>
    <row r="78" spans="1:11" x14ac:dyDescent="0.3">
      <c r="A78" s="1"/>
      <c r="B78" s="62">
        <v>9.7500000000000003E-2</v>
      </c>
      <c r="C78" s="22">
        <f>SUMPRODUCT((Extension!E44:E49-Extension!C44:C49&gt;0)*(Extension!E44:E49-Extension!C44:C49)*(1+$B78)^Extension!M18:M23)+SUMPRODUCT((Extension!E93:E98-Extension!C93:C98&gt;0)*(Extension!E93:E98-Extension!C93:C98)*(1+$B78)^Extension!M67:M72)+SUMPRODUCT((Extension!E142:E147-Extension!C142:C147&gt;0)*(Extension!E142:E147-Extension!C142:C147)*(1+$B78)^Extension!M116:M121)</f>
        <v>14328.724109170056</v>
      </c>
      <c r="D78" s="22">
        <f>SUMPRODUCT((Extension!F44:F49-Extension!C44:C49&gt;0)*(Extension!F44:F49-Extension!C44:C49)*(1+$B78)^Extension!M18:M23)+SUMPRODUCT((Extension!F93:F98-Extension!C93:C98&gt;0)*(Extension!F93:F98-Extension!C93:C98)*(1+$B78)^Extension!M67:M72)+SUMPRODUCT((Extension!F142:F147-Extension!C142:C147&gt;0)*(Extension!F142:F147-Extension!C142:C147)*(1+$B78)^Extension!M116:M121)</f>
        <v>14009.308353560626</v>
      </c>
      <c r="E78" s="22">
        <f>SUMPRODUCT((Extension!G44:G49-Extension!C44:C49&gt;0)*(Extension!G44:G49-Extension!C44:C49)*(1+$B78)^Extension!M18:M23)+SUMPRODUCT((Extension!G93:G98-Extension!C93:C98&gt;0)*(Extension!G93:G98-Extension!C93:C98)*(1+$B78)^Extension!M67:M72)+SUMPRODUCT((Extension!G142:G147-Extension!C142:C147&gt;0)*(Extension!G142:G147-Extension!C142:C147)*(1+$B78)^Extension!M116:M121)</f>
        <v>14428.974878749101</v>
      </c>
      <c r="F78" s="1"/>
      <c r="G78" s="1"/>
      <c r="H78" s="1"/>
      <c r="I78" s="1"/>
      <c r="J78" s="63">
        <f t="shared" si="3"/>
        <v>11089.137384284513</v>
      </c>
      <c r="K78" s="63">
        <f t="shared" si="4"/>
        <v>13729.408190066541</v>
      </c>
    </row>
    <row r="79" spans="1:11" x14ac:dyDescent="0.3">
      <c r="A79" s="1"/>
      <c r="B79" s="62">
        <v>0.1</v>
      </c>
      <c r="C79" s="22">
        <f>SUMPRODUCT((Extension!E44:E49-Extension!C44:C49&gt;0)*(Extension!E44:E49-Extension!C44:C49)*(1+$B79)^Extension!M18:M23)+SUMPRODUCT((Extension!E93:E98-Extension!C93:C98&gt;0)*(Extension!E93:E98-Extension!C93:C98)*(1+$B79)^Extension!M67:M72)+SUMPRODUCT((Extension!E142:E147-Extension!C142:C147&gt;0)*(Extension!E142:E147-Extension!C142:C147)*(1+$B79)^Extension!M116:M121)</f>
        <v>14403.548129702314</v>
      </c>
      <c r="D79" s="22">
        <f>SUMPRODUCT((Extension!F44:F49-Extension!C44:C49&gt;0)*(Extension!F44:F49-Extension!C44:C49)*(1+$B79)^Extension!M18:M23)+SUMPRODUCT((Extension!F93:F98-Extension!C93:C98&gt;0)*(Extension!F93:F98-Extension!C93:C98)*(1+$B79)^Extension!M67:M72)+SUMPRODUCT((Extension!F142:F147-Extension!C142:C147&gt;0)*(Extension!F142:F147-Extension!C142:C147)*(1+$B79)^Extension!M116:M121)</f>
        <v>14082.285052398245</v>
      </c>
      <c r="E79" s="22">
        <f>SUMPRODUCT((Extension!G44:G49-Extension!C44:C49&gt;0)*(Extension!G44:G49-Extension!C44:C49)*(1+$B79)^Extension!M18:M23)+SUMPRODUCT((Extension!G93:G98-Extension!C93:C98&gt;0)*(Extension!G93:G98-Extension!C93:C98)*(1+$B79)^Extension!M67:M72)+SUMPRODUCT((Extension!G142:G147-Extension!C142:C147&gt;0)*(Extension!G142:G147-Extension!C142:C147)*(1+$B79)^Extension!M116:M121)</f>
        <v>14504.418224278044</v>
      </c>
      <c r="F79" s="1"/>
      <c r="G79" s="1"/>
      <c r="H79" s="1"/>
      <c r="I79" s="1"/>
      <c r="J79" s="63">
        <f t="shared" si="3"/>
        <v>11089.137384284513</v>
      </c>
      <c r="K79" s="63">
        <f t="shared" si="4"/>
        <v>13729.408190066541</v>
      </c>
    </row>
    <row r="80" spans="1:11" x14ac:dyDescent="0.3">
      <c r="A80" s="1"/>
      <c r="B80" s="62">
        <v>0.10249999999999999</v>
      </c>
      <c r="C80" s="22">
        <f>SUMPRODUCT((Extension!E44:E49-Extension!C44:C49&gt;0)*(Extension!E44:E49-Extension!C44:C49)*(1+$B80)^Extension!M18:M23)+SUMPRODUCT((Extension!E93:E98-Extension!C93:C98&gt;0)*(Extension!E93:E98-Extension!C93:C98)*(1+$B80)^Extension!M67:M72)+SUMPRODUCT((Extension!E142:E147-Extension!C142:C147&gt;0)*(Extension!E142:E147-Extension!C142:C147)*(1+$B80)^Extension!M116:M121)</f>
        <v>14478.59546494552</v>
      </c>
      <c r="D80" s="22">
        <f>SUMPRODUCT((Extension!F44:F49-Extension!C44:C49&gt;0)*(Extension!F44:F49-Extension!C44:C49)*(1+$B80)^Extension!M18:M23)+SUMPRODUCT((Extension!F93:F98-Extension!C93:C98&gt;0)*(Extension!F93:F98-Extension!C93:C98)*(1+$B80)^Extension!M67:M72)+SUMPRODUCT((Extension!F142:F147-Extension!C142:C147&gt;0)*(Extension!F142:F147-Extension!C142:C147)*(1+$B80)^Extension!M116:M121)</f>
        <v>14155.478800184948</v>
      </c>
      <c r="E80" s="22">
        <f>SUMPRODUCT((Extension!G44:G49-Extension!C44:C49&gt;0)*(Extension!G44:G49-Extension!C44:C49)*(1+$B80)^Extension!M18:M23)+SUMPRODUCT((Extension!G93:G98-Extension!C93:C98&gt;0)*(Extension!G93:G98-Extension!C93:C98)*(1+$B80)^Extension!M67:M72)+SUMPRODUCT((Extension!G142:G147-Extension!C142:C147&gt;0)*(Extension!G142:G147-Extension!C142:C147)*(1+$B80)^Extension!M116:M121)</f>
        <v>14580.087259485097</v>
      </c>
      <c r="F80" s="1"/>
      <c r="G80" s="1"/>
      <c r="H80" s="1"/>
      <c r="I80" s="1"/>
      <c r="J80" s="63">
        <f t="shared" si="3"/>
        <v>11089.137384284513</v>
      </c>
      <c r="K80" s="63">
        <f t="shared" si="4"/>
        <v>13729.408190066541</v>
      </c>
    </row>
    <row r="81" spans="1:11" x14ac:dyDescent="0.3">
      <c r="A81" s="1"/>
      <c r="B81" s="62">
        <v>0.105</v>
      </c>
      <c r="C81" s="22">
        <f>SUMPRODUCT((Extension!E44:E49-Extension!C44:C49&gt;0)*(Extension!E44:E49-Extension!C44:C49)*(1+$B81)^Extension!M18:M23)+SUMPRODUCT((Extension!E93:E98-Extension!C93:C98&gt;0)*(Extension!E93:E98-Extension!C93:C98)*(1+$B81)^Extension!M67:M72)+SUMPRODUCT((Extension!E142:E147-Extension!C142:C147&gt;0)*(Extension!E142:E147-Extension!C142:C147)*(1+$B81)^Extension!M116:M121)</f>
        <v>14553.866293518789</v>
      </c>
      <c r="D81" s="22">
        <f>SUMPRODUCT((Extension!F44:F49-Extension!C44:C49&gt;0)*(Extension!F44:F49-Extension!C44:C49)*(1+$B81)^Extension!M18:M23)+SUMPRODUCT((Extension!F93:F98-Extension!C93:C98&gt;0)*(Extension!F93:F98-Extension!C93:C98)*(1+$B81)^Extension!M67:M72)+SUMPRODUCT((Extension!F142:F147-Extension!C142:C147&gt;0)*(Extension!F142:F147-Extension!C142:C147)*(1+$B81)^Extension!M116:M121)</f>
        <v>14228.889768930294</v>
      </c>
      <c r="E81" s="22">
        <f>SUMPRODUCT((Extension!G44:G49-Extension!C44:C49&gt;0)*(Extension!G44:G49-Extension!C44:C49)*(1+$B81)^Extension!M18:M23)+SUMPRODUCT((Extension!G93:G98-Extension!C93:C98&gt;0)*(Extension!G93:G98-Extension!C93:C98)*(1+$B81)^Extension!M67:M72)+SUMPRODUCT((Extension!G142:G147-Extension!C142:C147&gt;0)*(Extension!G142:G147-Extension!C142:C147)*(1+$B81)^Extension!M116:M121)</f>
        <v>14655.982166509693</v>
      </c>
      <c r="F81" s="1"/>
      <c r="G81" s="1"/>
      <c r="H81" s="1"/>
      <c r="I81" s="1"/>
      <c r="J81" s="63">
        <f t="shared" si="3"/>
        <v>11089.137384284513</v>
      </c>
      <c r="K81" s="63">
        <f t="shared" si="4"/>
        <v>13729.408190066541</v>
      </c>
    </row>
    <row r="82" spans="1:11" x14ac:dyDescent="0.3">
      <c r="A82" s="1"/>
      <c r="B82" s="62">
        <v>0.1075</v>
      </c>
      <c r="C82" s="22">
        <f>SUMPRODUCT((Extension!E44:E49-Extension!C44:C49&gt;0)*(Extension!E44:E49-Extension!C44:C49)*(1+$B82)^Extension!M18:M23)+SUMPRODUCT((Extension!E93:E98-Extension!C93:C98&gt;0)*(Extension!E93:E98-Extension!C93:C98)*(1+$B82)^Extension!M67:M72)+SUMPRODUCT((Extension!E142:E147-Extension!C142:C147&gt;0)*(Extension!E142:E147-Extension!C142:C147)*(1+$B82)^Extension!M116:M121)</f>
        <v>14629.360793846066</v>
      </c>
      <c r="D82" s="22">
        <f>SUMPRODUCT((Extension!F44:F49-Extension!C44:C49&gt;0)*(Extension!F44:F49-Extension!C44:C49)*(1+$B82)^Extension!M18:M23)+SUMPRODUCT((Extension!F93:F98-Extension!C93:C98&gt;0)*(Extension!F93:F98-Extension!C93:C98)*(1+$B82)^Extension!M67:M72)+SUMPRODUCT((Extension!F142:F147-Extension!C142:C147&gt;0)*(Extension!F142:F147-Extension!C142:C147)*(1+$B82)^Extension!M116:M121)</f>
        <v>14302.518130455417</v>
      </c>
      <c r="E82" s="22">
        <f>SUMPRODUCT((Extension!G44:G49-Extension!C44:C49&gt;0)*(Extension!G44:G49-Extension!C44:C49)*(1+$B82)^Extension!M18:M23)+SUMPRODUCT((Extension!G93:G98-Extension!C93:C98&gt;0)*(Extension!G93:G98-Extension!C93:C98)*(1+$B82)^Extension!M67:M72)+SUMPRODUCT((Extension!G142:G147-Extension!C142:C147&gt;0)*(Extension!G142:G147-Extension!C142:C147)*(1+$B82)^Extension!M116:M121)</f>
        <v>14732.103127292827</v>
      </c>
      <c r="F82" s="1"/>
      <c r="G82" s="1"/>
      <c r="H82" s="1"/>
      <c r="I82" s="1"/>
      <c r="J82" s="63">
        <f t="shared" si="3"/>
        <v>11089.137384284513</v>
      </c>
      <c r="K82" s="63">
        <f t="shared" si="4"/>
        <v>13729.408190066541</v>
      </c>
    </row>
    <row r="83" spans="1:11" x14ac:dyDescent="0.3">
      <c r="A83" s="1"/>
      <c r="B83" s="62">
        <v>0.11</v>
      </c>
      <c r="C83" s="22">
        <f>SUMPRODUCT((Extension!E44:E49-Extension!C44:C49&gt;0)*(Extension!E44:E49-Extension!C44:C49)*(1+$B83)^Extension!M18:M23)+SUMPRODUCT((Extension!E93:E98-Extension!C93:C98&gt;0)*(Extension!E93:E98-Extension!C93:C98)*(1+$B83)^Extension!M67:M72)+SUMPRODUCT((Extension!E142:E147-Extension!C142:C147&gt;0)*(Extension!E142:E147-Extension!C142:C147)*(1+$B83)^Extension!M116:M121)</f>
        <v>14705.07914415682</v>
      </c>
      <c r="D83" s="22">
        <f>SUMPRODUCT((Extension!F44:F49-Extension!C44:C49&gt;0)*(Extension!F44:F49-Extension!C44:C49)*(1+$B83)^Extension!M18:M23)+SUMPRODUCT((Extension!F93:F98-Extension!C93:C98&gt;0)*(Extension!F93:F98-Extension!C93:C98)*(1+$B83)^Extension!M67:M72)+SUMPRODUCT((Extension!F142:F147-Extension!C142:C147&gt;0)*(Extension!F142:F147-Extension!C142:C147)*(1+$B83)^Extension!M116:M121)</f>
        <v>14376.36405639371</v>
      </c>
      <c r="E83" s="22">
        <f>SUMPRODUCT((Extension!G44:G49-Extension!C44:C49&gt;0)*(Extension!G44:G49-Extension!C44:C49)*(1+$B83)^Extension!M18:M23)+SUMPRODUCT((Extension!G93:G98-Extension!C93:C98&gt;0)*(Extension!G93:G98-Extension!C93:C98)*(1+$B83)^Extension!M67:M72)+SUMPRODUCT((Extension!G142:G147-Extension!C142:C147&gt;0)*(Extension!G142:G147-Extension!C142:C147)*(1+$B83)^Extension!M116:M121)</f>
        <v>14808.45032357775</v>
      </c>
      <c r="F83" s="1"/>
      <c r="G83" s="1"/>
      <c r="H83" s="1"/>
      <c r="I83" s="1"/>
      <c r="J83" s="63">
        <f t="shared" si="3"/>
        <v>11089.137384284513</v>
      </c>
      <c r="K83" s="63">
        <f t="shared" si="4"/>
        <v>13729.408190066541</v>
      </c>
    </row>
    <row r="84" spans="1:11" x14ac:dyDescent="0.3">
      <c r="A84" s="1"/>
      <c r="B84" s="62">
        <v>0.1125</v>
      </c>
      <c r="C84" s="22">
        <f>SUMPRODUCT((Extension!E44:E49-Extension!C44:C49&gt;0)*(Extension!E44:E49-Extension!C44:C49)*(1+$B84)^Extension!M18:M23)+SUMPRODUCT((Extension!E93:E98-Extension!C93:C98&gt;0)*(Extension!E93:E98-Extension!C93:C98)*(1+$B84)^Extension!M67:M72)+SUMPRODUCT((Extension!E142:E147-Extension!C142:C147&gt;0)*(Extension!E142:E147-Extension!C142:C147)*(1+$B84)^Extension!M116:M121)</f>
        <v>14781.021522486728</v>
      </c>
      <c r="D84" s="22">
        <f>SUMPRODUCT((Extension!F44:F49-Extension!C44:C49&gt;0)*(Extension!F44:F49-Extension!C44:C49)*(1+$B84)^Extension!M18:M23)+SUMPRODUCT((Extension!F93:F98-Extension!C93:C98&gt;0)*(Extension!F93:F98-Extension!C93:C98)*(1+$B84)^Extension!M67:M72)+SUMPRODUCT((Extension!F142:F147-Extension!C142:C147&gt;0)*(Extension!F142:F147-Extension!C142:C147)*(1+$B84)^Extension!M116:M121)</f>
        <v>14450.427718191484</v>
      </c>
      <c r="E84" s="22">
        <f>SUMPRODUCT((Extension!G44:G49-Extension!C44:C49&gt;0)*(Extension!G44:G49-Extension!C44:C49)*(1+$B84)^Extension!M18:M23)+SUMPRODUCT((Extension!G93:G98-Extension!C93:C98&gt;0)*(Extension!G93:G98-Extension!C93:C98)*(1+$B84)^Extension!M67:M72)+SUMPRODUCT((Extension!G142:G147-Extension!C142:C147&gt;0)*(Extension!G142:G147-Extension!C142:C147)*(1+$B84)^Extension!M116:M121)</f>
        <v>14885.023936910689</v>
      </c>
      <c r="F84" s="1"/>
      <c r="G84" s="1"/>
      <c r="H84" s="1"/>
      <c r="I84" s="1"/>
      <c r="J84" s="63">
        <f t="shared" si="3"/>
        <v>11089.137384284513</v>
      </c>
      <c r="K84" s="63">
        <f t="shared" si="4"/>
        <v>13729.408190066541</v>
      </c>
    </row>
    <row r="85" spans="1:11" x14ac:dyDescent="0.3">
      <c r="A85" s="1"/>
      <c r="B85" s="62">
        <v>0.115</v>
      </c>
      <c r="C85" s="22">
        <f>SUMPRODUCT((Extension!E44:E49-Extension!C44:C49&gt;0)*(Extension!E44:E49-Extension!C44:C49)*(1+$B85)^Extension!M18:M23)+SUMPRODUCT((Extension!E93:E98-Extension!C93:C98&gt;0)*(Extension!E93:E98-Extension!C93:C98)*(1+$B85)^Extension!M67:M72)+SUMPRODUCT((Extension!E142:E147-Extension!C142:C147&gt;0)*(Extension!E142:E147-Extension!C142:C147)*(1+$B85)^Extension!M116:M121)</f>
        <v>14857.188106678415</v>
      </c>
      <c r="D85" s="22">
        <f>SUMPRODUCT((Extension!F44:F49-Extension!C44:C49&gt;0)*(Extension!F44:F49-Extension!C44:C49)*(1+$B85)^Extension!M18:M23)+SUMPRODUCT((Extension!F93:F98-Extension!C93:C98&gt;0)*(Extension!F93:F98-Extension!C93:C98)*(1+$B85)^Extension!M67:M72)+SUMPRODUCT((Extension!F142:F147-Extension!C142:C147&gt;0)*(Extension!F142:F147-Extension!C142:C147)*(1+$B85)^Extension!M116:M121)</f>
        <v>14524.709287108652</v>
      </c>
      <c r="E85" s="22">
        <f>SUMPRODUCT((Extension!G44:G49-Extension!C44:C49&gt;0)*(Extension!G44:G49-Extension!C44:C49)*(1+$B85)^Extension!M18:M23)+SUMPRODUCT((Extension!G93:G98-Extension!C93:C98&gt;0)*(Extension!G93:G98-Extension!C93:C98)*(1+$B85)^Extension!M67:M72)+SUMPRODUCT((Extension!G142:G147-Extension!C142:C147&gt;0)*(Extension!G142:G147-Extension!C142:C147)*(1+$B85)^Extension!M116:M121)</f>
        <v>14961.824148641565</v>
      </c>
      <c r="F85" s="1"/>
      <c r="G85" s="1"/>
      <c r="H85" s="1"/>
      <c r="I85" s="1"/>
      <c r="J85" s="63">
        <f t="shared" si="3"/>
        <v>11089.137384284513</v>
      </c>
      <c r="K85" s="63">
        <f t="shared" si="4"/>
        <v>13729.408190066541</v>
      </c>
    </row>
    <row r="86" spans="1:11" x14ac:dyDescent="0.3">
      <c r="A86" s="1"/>
      <c r="B86" s="62">
        <v>0.11749999999999999</v>
      </c>
      <c r="C86" s="22">
        <f>SUMPRODUCT((Extension!E44:E49-Extension!C44:C49&gt;0)*(Extension!E44:E49-Extension!C44:C49)*(1+$B86)^Extension!M18:M23)+SUMPRODUCT((Extension!E93:E98-Extension!C93:C98&gt;0)*(Extension!E93:E98-Extension!C93:C98)*(1+$B86)^Extension!M67:M72)+SUMPRODUCT((Extension!E142:E147-Extension!C142:C147&gt;0)*(Extension!E142:E147-Extension!C142:C147)*(1+$B86)^Extension!M116:M121)</f>
        <v>14933.579074382105</v>
      </c>
      <c r="D86" s="22">
        <f>SUMPRODUCT((Extension!F44:F49-Extension!C44:C49&gt;0)*(Extension!F44:F49-Extension!C44:C49)*(1+$B86)^Extension!M18:M23)+SUMPRODUCT((Extension!F93:F98-Extension!C93:C98&gt;0)*(Extension!F93:F98-Extension!C93:C98)*(1+$B86)^Extension!M67:M72)+SUMPRODUCT((Extension!F142:F147-Extension!C142:C147&gt;0)*(Extension!F142:F147-Extension!C142:C147)*(1+$B86)^Extension!M116:M121)</f>
        <v>14599.208934219398</v>
      </c>
      <c r="E86" s="22">
        <f>SUMPRODUCT((Extension!G44:G49-Extension!C44:C49&gt;0)*(Extension!G44:G49-Extension!C44:C49)*(1+$B86)^Extension!M18:M23)+SUMPRODUCT((Extension!G93:G98-Extension!C93:C98&gt;0)*(Extension!G93:G98-Extension!C93:C98)*(1+$B86)^Extension!M67:M72)+SUMPRODUCT((Extension!G142:G147-Extension!C142:C147&gt;0)*(Extension!G142:G147-Extension!C142:C147)*(1+$B86)^Extension!M116:M121)</f>
        <v>15038.851139924678</v>
      </c>
      <c r="F86" s="1"/>
      <c r="G86" s="1"/>
      <c r="H86" s="1"/>
      <c r="I86" s="1"/>
      <c r="J86" s="63">
        <f t="shared" si="3"/>
        <v>11089.137384284513</v>
      </c>
      <c r="K86" s="63">
        <f t="shared" si="4"/>
        <v>13729.408190066541</v>
      </c>
    </row>
    <row r="87" spans="1:11" x14ac:dyDescent="0.3">
      <c r="A87" s="1"/>
      <c r="B87" s="62">
        <v>0.12</v>
      </c>
      <c r="C87" s="22">
        <f>SUMPRODUCT((Extension!E44:E49-Extension!C44:C49&gt;0)*(Extension!E44:E49-Extension!C44:C49)*(1+$B87)^Extension!M18:M23)+SUMPRODUCT((Extension!E93:E98-Extension!C93:C98&gt;0)*(Extension!E93:E98-Extension!C93:C98)*(1+$B87)^Extension!M67:M72)+SUMPRODUCT((Extension!E142:E147-Extension!C142:C147&gt;0)*(Extension!E142:E147-Extension!C142:C147)*(1+$B87)^Extension!M116:M121)</f>
        <v>15010.194603056345</v>
      </c>
      <c r="D87" s="22">
        <f>SUMPRODUCT((Extension!F44:F49-Extension!C44:C49&gt;0)*(Extension!F44:F49-Extension!C44:C49)*(1+$B87)^Extension!M18:M23)+SUMPRODUCT((Extension!F93:F98-Extension!C93:C98&gt;0)*(Extension!F93:F98-Extension!C93:C98)*(1+$B87)^Extension!M67:M72)+SUMPRODUCT((Extension!F142:F147-Extension!C142:C147&gt;0)*(Extension!F142:F147-Extension!C142:C147)*(1+$B87)^Extension!M116:M121)</f>
        <v>14673.926830412833</v>
      </c>
      <c r="E87" s="22">
        <f>SUMPRODUCT((Extension!G44:G49-Extension!C44:C49&gt;0)*(Extension!G44:G49-Extension!C44:C49)*(1+$B87)^Extension!M18:M23)+SUMPRODUCT((Extension!G93:G98-Extension!C93:C98&gt;0)*(Extension!G93:G98-Extension!C93:C98)*(1+$B87)^Extension!M67:M72)+SUMPRODUCT((Extension!G142:G147-Extension!C142:C147&gt;0)*(Extension!G142:G147-Extension!C142:C147)*(1+$B87)^Extension!M116:M121)</f>
        <v>15116.105091719432</v>
      </c>
      <c r="F87" s="1"/>
      <c r="G87" s="1"/>
      <c r="H87" s="1"/>
      <c r="I87" s="1"/>
      <c r="J87" s="63">
        <f t="shared" si="3"/>
        <v>11089.137384284513</v>
      </c>
      <c r="K87" s="63">
        <f t="shared" si="4"/>
        <v>13729.408190066541</v>
      </c>
    </row>
    <row r="88" spans="1:11" x14ac:dyDescent="0.3">
      <c r="A88" s="1"/>
      <c r="B88" s="1"/>
      <c r="C88" s="1"/>
      <c r="D88" s="1"/>
      <c r="E88" s="1"/>
      <c r="F88" s="1"/>
      <c r="G88" s="1"/>
      <c r="H88" s="1"/>
      <c r="I88" s="1"/>
      <c r="J88" s="1"/>
      <c r="K88" s="1"/>
    </row>
    <row r="89" spans="1:11" x14ac:dyDescent="0.3">
      <c r="A89" s="1"/>
      <c r="B89" s="3" t="s">
        <v>331</v>
      </c>
      <c r="C89" s="1"/>
      <c r="D89" s="1"/>
      <c r="E89" s="1"/>
      <c r="F89" s="1"/>
      <c r="G89" s="1"/>
      <c r="H89" s="1"/>
      <c r="I89" s="1"/>
      <c r="J89" s="1"/>
      <c r="K89" s="1"/>
    </row>
    <row r="90" spans="1:11" x14ac:dyDescent="0.3">
      <c r="A90" s="1"/>
      <c r="B90" s="4" t="s">
        <v>332</v>
      </c>
      <c r="C90" s="1"/>
      <c r="D90" s="1"/>
      <c r="E90" s="1"/>
      <c r="F90" s="1"/>
      <c r="G90" s="1"/>
      <c r="H90" s="1"/>
      <c r="I90" s="1"/>
      <c r="J90" s="1"/>
      <c r="K90" s="1"/>
    </row>
    <row r="91" spans="1:11" x14ac:dyDescent="0.3">
      <c r="A91" s="1"/>
      <c r="B91" s="1"/>
      <c r="C91" s="1"/>
      <c r="D91" s="1"/>
      <c r="E91" s="1"/>
      <c r="F91" s="1"/>
      <c r="G91" s="1"/>
      <c r="H91" s="1"/>
      <c r="I91" s="1"/>
      <c r="J91" s="1"/>
      <c r="K91" s="1"/>
    </row>
    <row r="92" spans="1:11" ht="26.4" x14ac:dyDescent="0.3">
      <c r="A92" s="1"/>
      <c r="B92" s="13"/>
      <c r="C92" s="13" t="s">
        <v>308</v>
      </c>
      <c r="D92" s="13" t="s">
        <v>309</v>
      </c>
      <c r="E92" s="13" t="s">
        <v>310</v>
      </c>
      <c r="F92" s="1"/>
      <c r="G92" s="1"/>
      <c r="H92" s="1"/>
      <c r="I92" s="1"/>
      <c r="J92" s="1"/>
      <c r="K92" s="1"/>
    </row>
    <row r="93" spans="1:11" x14ac:dyDescent="0.3">
      <c r="A93" s="1"/>
      <c r="B93" s="16" t="s">
        <v>333</v>
      </c>
      <c r="C93" s="49">
        <f>IF(INDEX($C$39:$C$87,1)&gt;=C$10,0,INDEX($B$39:$B$87,MATCH(C$10,$C$39:$C$87,1))+(C$10-INDEX($C$39:$C$87,MATCH(C$10,$C$39:$C$87,1)))/(INDEX($C$39:$C$87,MATCH(C$10,$C$39:$C$87,1)+1)-INDEX($C$39:$C$87,MATCH(C$10,$C$39:$C$87,1)))*(INDEX($B$39:$B$87,MATCH(C$10,$C$39:$C$87,1)+1)-INDEX($B$39:$B$87,MATCH(C$10,$C$39:$C$87,1))))</f>
        <v>0</v>
      </c>
      <c r="D93" s="49">
        <f>IF(INDEX($D$39:$D$87,1)&gt;=D$10,0,INDEX($B$39:$B$87,MATCH(D$10,$D$39:$D$87,1))+(D$10-INDEX($D$39:$D$87,MATCH(D$10,$D$39:$D$87,1)))/(INDEX($D$39:$D$87,MATCH(D$10,$D$39:$D$87,1)+1)-INDEX($D$39:$D$87,MATCH(D$10,$D$39:$D$87,1)))*(INDEX($B$39:$B$87,MATCH(D$10,$D$39:$D$87,1)+1)-INDEX($B$39:$B$87,MATCH(D$10,$D$39:$D$87,1))))</f>
        <v>0</v>
      </c>
      <c r="E93" s="49">
        <f>IF(INDEX($E$39:$E$87,1)&gt;=E$10,0,INDEX($B$39:$B$87,MATCH(E$10,$E$39:$E$87,1))+(E$10-INDEX($E$39:$E$87,MATCH(E$10,$E$39:$E$87,1)))/(INDEX($E$39:$E$87,MATCH(E$10,$E$39:$E$87,1)+1)-INDEX($E$39:$E$87,MATCH(E$10,$E$39:$E$87,1)))*(INDEX($B$39:$B$87,MATCH(E$10,$E$39:$E$87,1)+1)-INDEX($B$39:$B$87,MATCH(E$10,$E$39:$E$87,1))))</f>
        <v>0</v>
      </c>
      <c r="F93" s="1"/>
      <c r="G93" s="1"/>
      <c r="H93" s="1"/>
      <c r="I93" s="1"/>
      <c r="J93" s="1"/>
      <c r="K93" s="1"/>
    </row>
    <row r="94" spans="1:11" x14ac:dyDescent="0.3">
      <c r="A94" s="1"/>
      <c r="B94" s="16" t="s">
        <v>334</v>
      </c>
      <c r="C94" s="49">
        <f>IF(INDEX($C$39:$C$87,1)&gt;=C$11,0,INDEX($B$39:$B$87,MATCH(C$11,$C$39:$C$87,1))+(C$11-INDEX($C$39:$C$87,MATCH(C$11,$C$39:$C$87,1)))/(INDEX($C$39:$C$87,MATCH(C$11,$C$39:$C$87,1)+1)-INDEX($C$39:$C$87,MATCH(C$11,$C$39:$C$87,1)))*(INDEX($B$39:$B$87,MATCH(C$11,$C$39:$C$87,1)+1)-INDEX($B$39:$B$87,MATCH(C$11,$C$39:$C$87,1))))</f>
        <v>6.7160733620414068E-2</v>
      </c>
      <c r="D94" s="49">
        <f>IF(INDEX($D$39:$D$87,1)&gt;=D$11,0,INDEX($B$39:$B$87,MATCH(D$11,$D$39:$D$87,1))+(D$11-INDEX($D$39:$D$87,MATCH(D$11,$D$39:$D$87,1)))/(INDEX($D$39:$D$87,MATCH(D$11,$D$39:$D$87,1)+1)-INDEX($D$39:$D$87,MATCH(D$11,$D$39:$D$87,1)))*(INDEX($B$39:$B$87,MATCH(D$11,$D$39:$D$87,1)+1)-INDEX($B$39:$B$87,MATCH(D$11,$D$39:$D$87,1))))</f>
        <v>8.8348096278157429E-2</v>
      </c>
      <c r="E94" s="49">
        <f>IF(INDEX($E$39:$E$87,1)&gt;=E$11,0,INDEX($B$39:$B$87,MATCH(E$11,$E$39:$E$87,1))+(E$11-INDEX($E$39:$E$87,MATCH(E$11,$E$39:$E$87,1)))/(INDEX($E$39:$E$87,MATCH(E$11,$E$39:$E$87,1)+1)-INDEX($E$39:$E$87,MATCH(E$11,$E$39:$E$87,1)))*(INDEX($B$39:$B$87,MATCH(E$11,$E$39:$E$87,1)+1)-INDEX($B$39:$B$87,MATCH(E$11,$E$39:$E$87,1))))</f>
        <v>7.3951368650654908E-2</v>
      </c>
      <c r="F94" s="1"/>
      <c r="G94" s="1"/>
      <c r="H94" s="1"/>
      <c r="I94" s="1"/>
      <c r="J94" s="1"/>
      <c r="K94" s="1"/>
    </row>
    <row r="95" spans="1:11" x14ac:dyDescent="0.3">
      <c r="A95" s="1"/>
      <c r="B95" s="16" t="s">
        <v>335</v>
      </c>
      <c r="C95" s="22">
        <f>C39</f>
        <v>11582.846148383751</v>
      </c>
      <c r="D95" s="22">
        <f>D39</f>
        <v>11330.659886061856</v>
      </c>
      <c r="E95" s="22">
        <f>E39</f>
        <v>11660.757814808516</v>
      </c>
      <c r="F95" s="1"/>
      <c r="G95" s="1"/>
      <c r="H95" s="1"/>
      <c r="I95" s="1"/>
      <c r="J95" s="1"/>
      <c r="K95" s="1"/>
    </row>
    <row r="96" spans="1:11" x14ac:dyDescent="0.3">
      <c r="A96" s="1"/>
      <c r="B96" s="6" t="s">
        <v>336</v>
      </c>
      <c r="C96" s="54">
        <f>Ext_shock</f>
        <v>0.04</v>
      </c>
      <c r="D96" s="1"/>
      <c r="E96" s="1"/>
      <c r="F96" s="1"/>
      <c r="G96" s="1"/>
      <c r="H96" s="1"/>
      <c r="I96" s="1"/>
      <c r="J96" s="1"/>
      <c r="K96" s="1"/>
    </row>
    <row r="97" spans="1:11" x14ac:dyDescent="0.3">
      <c r="A97" s="1"/>
      <c r="B97" s="6" t="s">
        <v>337</v>
      </c>
      <c r="C97" s="39" t="str">
        <f>IF(SUMPRODUCT(--(C93:E93&lt;$B$39))+SUMPRODUCT(--(C94:E94&gt;$B$87))+SUMPRODUCT(--(C93:E93&gt;C94:E94))=0,"OK","REVIEW")</f>
        <v>OK</v>
      </c>
      <c r="D97" s="1"/>
      <c r="E97" s="1"/>
      <c r="F97" s="1"/>
      <c r="G97" s="1"/>
      <c r="H97" s="1"/>
      <c r="I97" s="1"/>
      <c r="J97" s="1"/>
      <c r="K97" s="1"/>
    </row>
    <row r="98" spans="1:11" x14ac:dyDescent="0.3">
      <c r="A98" s="1"/>
      <c r="B98" s="1"/>
      <c r="C98" s="1"/>
      <c r="D98" s="1"/>
      <c r="E98" s="1"/>
      <c r="F98" s="1"/>
      <c r="G98" s="1"/>
      <c r="H98" s="1"/>
      <c r="I98" s="1"/>
      <c r="J98" s="1"/>
      <c r="K98" s="1"/>
    </row>
    <row r="99" spans="1:11" x14ac:dyDescent="0.3">
      <c r="A99" s="1"/>
      <c r="B99" s="1"/>
      <c r="C99" s="1"/>
      <c r="D99" s="1"/>
      <c r="E99" s="1"/>
      <c r="F99" s="1"/>
      <c r="G99" s="1"/>
      <c r="H99" s="1"/>
      <c r="I99" s="1"/>
      <c r="J99" s="1"/>
      <c r="K99" s="1"/>
    </row>
    <row r="100" spans="1:11" x14ac:dyDescent="0.3">
      <c r="A100" s="1"/>
      <c r="B100" s="3" t="s">
        <v>338</v>
      </c>
      <c r="C100" s="1"/>
      <c r="D100" s="1"/>
      <c r="E100" s="1"/>
      <c r="F100" s="1"/>
      <c r="G100" s="1"/>
      <c r="H100" s="1"/>
      <c r="I100" s="1"/>
      <c r="J100" s="1"/>
      <c r="K100" s="1"/>
    </row>
    <row r="101" spans="1:11" x14ac:dyDescent="0.3">
      <c r="A101" s="1"/>
      <c r="B101" s="16" t="s">
        <v>333</v>
      </c>
      <c r="C101" s="49">
        <f>INDEX($C$93:$E$94,MATCH($B101,$B$93:$B$94,0),MATCH($C$21,$C$8:$E$8,0))</f>
        <v>0</v>
      </c>
      <c r="D101" s="1"/>
      <c r="E101" s="1"/>
      <c r="F101" s="1"/>
      <c r="G101" s="1"/>
      <c r="H101" s="1"/>
      <c r="I101" s="1"/>
      <c r="J101" s="1"/>
      <c r="K101" s="1"/>
    </row>
    <row r="102" spans="1:11" x14ac:dyDescent="0.3">
      <c r="A102" s="1"/>
      <c r="B102" s="16" t="s">
        <v>334</v>
      </c>
      <c r="C102" s="49">
        <f>INDEX($C$93:$E$94,MATCH($B102,$B$93:$B$94,0),MATCH($C$21,$C$8:$E$8,0))</f>
        <v>7.3951368650654908E-2</v>
      </c>
      <c r="D102" s="1"/>
      <c r="E102" s="1"/>
      <c r="F102" s="1"/>
      <c r="G102" s="1"/>
      <c r="H102" s="1"/>
      <c r="I102" s="1"/>
      <c r="J102" s="1"/>
      <c r="K102" s="1"/>
    </row>
  </sheetData>
  <pageMargins left="0.75" right="0.75" top="1" bottom="1" header="0.511811023622047" footer="0.511811023622047"/>
  <pageSetup orientation="landscape"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AD47"/>
    <pageSetUpPr fitToPage="1"/>
  </sheetPr>
  <dimension ref="A1:J67"/>
  <sheetViews>
    <sheetView showGridLines="0" zoomScaleNormal="100" workbookViewId="0">
      <pane xSplit="2" ySplit="2" topLeftCell="C3" activePane="bottomRight" state="frozen"/>
      <selection pane="topRight" activeCell="C1" sqref="C1"/>
      <selection pane="bottomLeft" activeCell="A3" sqref="A3"/>
      <selection pane="bottomRight"/>
    </sheetView>
  </sheetViews>
  <sheetFormatPr defaultColWidth="8.6640625" defaultRowHeight="14.4" x14ac:dyDescent="0.3"/>
  <cols>
    <col min="1" max="1" width="2" customWidth="1"/>
    <col min="2" max="2" width="26" customWidth="1"/>
    <col min="3" max="8" width="14" customWidth="1"/>
    <col min="9" max="9" width="3" customWidth="1"/>
  </cols>
  <sheetData>
    <row r="1" spans="1:10" ht="17.399999999999999" x14ac:dyDescent="0.3">
      <c r="A1" s="1"/>
      <c r="B1" s="2" t="s">
        <v>339</v>
      </c>
      <c r="C1" s="1"/>
      <c r="D1" s="1"/>
      <c r="E1" s="1"/>
      <c r="F1" s="1"/>
      <c r="G1" s="1"/>
      <c r="H1" s="1"/>
      <c r="I1" s="1"/>
      <c r="J1" s="1"/>
    </row>
    <row r="2" spans="1:10" x14ac:dyDescent="0.3">
      <c r="A2" s="1"/>
      <c r="B2" s="4" t="s">
        <v>340</v>
      </c>
      <c r="C2" s="1"/>
      <c r="D2" s="1"/>
      <c r="E2" s="1"/>
      <c r="F2" s="1"/>
      <c r="G2" s="1"/>
      <c r="H2" s="1"/>
      <c r="I2" s="1"/>
      <c r="J2" s="1"/>
    </row>
    <row r="3" spans="1:10" x14ac:dyDescent="0.3">
      <c r="A3" s="1"/>
      <c r="B3" s="1"/>
      <c r="C3" s="1"/>
      <c r="D3" s="1"/>
      <c r="E3" s="1"/>
      <c r="F3" s="1"/>
      <c r="G3" s="1"/>
      <c r="H3" s="1"/>
      <c r="I3" s="1"/>
      <c r="J3" s="1"/>
    </row>
    <row r="4" spans="1:10" x14ac:dyDescent="0.3">
      <c r="A4" s="1"/>
      <c r="B4" s="5" t="s">
        <v>341</v>
      </c>
      <c r="C4" s="1"/>
      <c r="D4" s="1"/>
      <c r="E4" s="1"/>
      <c r="F4" s="1"/>
      <c r="G4" s="1"/>
      <c r="H4" s="1"/>
      <c r="I4" s="1"/>
      <c r="J4" s="1"/>
    </row>
    <row r="5" spans="1:10" ht="26.4" x14ac:dyDescent="0.3">
      <c r="A5" s="1"/>
      <c r="B5" s="13" t="s">
        <v>342</v>
      </c>
      <c r="C5" s="13" t="s">
        <v>308</v>
      </c>
      <c r="D5" s="13" t="s">
        <v>309</v>
      </c>
      <c r="E5" s="13" t="s">
        <v>310</v>
      </c>
      <c r="F5" s="1"/>
      <c r="G5" s="1"/>
      <c r="H5" s="1"/>
      <c r="I5" s="1"/>
      <c r="J5" s="1"/>
    </row>
    <row r="6" spans="1:10" x14ac:dyDescent="0.3">
      <c r="A6" s="1"/>
      <c r="B6" s="45" t="s">
        <v>73</v>
      </c>
      <c r="C6" s="20">
        <f>'S1 Chain Ladder'!G13</f>
        <v>3967.3642191935965</v>
      </c>
      <c r="D6" s="20">
        <f>'S2 Expected Claims'!H14</f>
        <v>3892.5162143488292</v>
      </c>
      <c r="E6" s="20">
        <f>'S3 BF'!H14</f>
        <v>3953.1084384002825</v>
      </c>
      <c r="F6" s="1"/>
      <c r="G6" s="1"/>
      <c r="H6" s="1"/>
      <c r="I6" s="1"/>
      <c r="J6" s="1"/>
    </row>
    <row r="7" spans="1:10" x14ac:dyDescent="0.3">
      <c r="A7" s="1"/>
      <c r="B7" s="45" t="s">
        <v>74</v>
      </c>
      <c r="C7" s="20">
        <f>'S1 Chain Ladder'!G26</f>
        <v>3478.3681123775527</v>
      </c>
      <c r="D7" s="20">
        <f>'S2 Expected Claims'!H27</f>
        <v>3635.0731733110447</v>
      </c>
      <c r="E7" s="20">
        <f>'S3 BF'!H27</f>
        <v>3532.9964909688233</v>
      </c>
      <c r="F7" s="1"/>
      <c r="G7" s="1"/>
      <c r="H7" s="1"/>
      <c r="I7" s="1"/>
      <c r="J7" s="1"/>
    </row>
    <row r="8" spans="1:10" x14ac:dyDescent="0.3">
      <c r="A8" s="1"/>
      <c r="B8" s="45" t="s">
        <v>75</v>
      </c>
      <c r="C8" s="20">
        <f>'S1 Chain Ladder'!G39</f>
        <v>2891.5190253276669</v>
      </c>
      <c r="D8" s="20">
        <f>'S2 Expected Claims'!H40</f>
        <v>3044.7422791918907</v>
      </c>
      <c r="E8" s="20">
        <f>'S3 BF'!H40</f>
        <v>3074.9782937590021</v>
      </c>
      <c r="F8" s="1"/>
      <c r="G8" s="1"/>
      <c r="H8" s="1"/>
      <c r="I8" s="1"/>
      <c r="J8" s="1"/>
    </row>
    <row r="9" spans="1:10" x14ac:dyDescent="0.3">
      <c r="A9" s="1"/>
      <c r="B9" s="43" t="s">
        <v>343</v>
      </c>
      <c r="C9" s="42">
        <f>SUM(C6:C8)</f>
        <v>10337.251356898816</v>
      </c>
      <c r="D9" s="42">
        <f>SUM(D6:D8)</f>
        <v>10572.331666851765</v>
      </c>
      <c r="E9" s="42">
        <f>SUM(E6:E8)</f>
        <v>10561.083223128107</v>
      </c>
      <c r="F9" s="1"/>
      <c r="G9" s="1"/>
      <c r="H9" s="1"/>
      <c r="I9" s="1"/>
      <c r="J9" s="1"/>
    </row>
    <row r="10" spans="1:10" x14ac:dyDescent="0.3">
      <c r="A10" s="1"/>
      <c r="B10" s="1"/>
      <c r="C10" s="1"/>
      <c r="D10" s="1"/>
      <c r="E10" s="1"/>
      <c r="F10" s="1"/>
      <c r="G10" s="1"/>
      <c r="H10" s="1"/>
      <c r="I10" s="1"/>
      <c r="J10" s="1"/>
    </row>
    <row r="11" spans="1:10" x14ac:dyDescent="0.3">
      <c r="A11" s="1"/>
      <c r="B11" s="1"/>
      <c r="C11" s="1"/>
      <c r="D11" s="1"/>
      <c r="E11" s="1"/>
      <c r="F11" s="1"/>
      <c r="G11" s="1"/>
      <c r="H11" s="1"/>
      <c r="I11" s="1"/>
      <c r="J11" s="1"/>
    </row>
    <row r="12" spans="1:10" x14ac:dyDescent="0.3">
      <c r="A12" s="1"/>
      <c r="B12" s="5" t="s">
        <v>344</v>
      </c>
      <c r="C12" s="1"/>
      <c r="D12" s="1"/>
      <c r="E12" s="1"/>
      <c r="F12" s="1"/>
      <c r="G12" s="1"/>
      <c r="H12" s="1"/>
      <c r="I12" s="1"/>
      <c r="J12" s="1"/>
    </row>
    <row r="13" spans="1:10" ht="26.4" x14ac:dyDescent="0.3">
      <c r="A13" s="1"/>
      <c r="B13" s="13" t="s">
        <v>342</v>
      </c>
      <c r="C13" s="13" t="s">
        <v>308</v>
      </c>
      <c r="D13" s="13" t="s">
        <v>309</v>
      </c>
      <c r="E13" s="13" t="s">
        <v>310</v>
      </c>
      <c r="F13" s="1"/>
      <c r="G13" s="1"/>
      <c r="H13" s="1"/>
      <c r="I13" s="1"/>
      <c r="J13" s="1"/>
    </row>
    <row r="14" spans="1:10" x14ac:dyDescent="0.3">
      <c r="A14" s="1"/>
      <c r="B14" s="45" t="s">
        <v>73</v>
      </c>
      <c r="C14" s="20">
        <f>Extension!K50</f>
        <v>4540.3256572390201</v>
      </c>
      <c r="D14" s="20">
        <f>Extension!L50</f>
        <v>4440.061366713453</v>
      </c>
      <c r="E14" s="20">
        <f>Extension!M50</f>
        <v>4520.2830776941901</v>
      </c>
      <c r="F14" s="1"/>
      <c r="G14" s="1"/>
      <c r="H14" s="1"/>
      <c r="I14" s="1"/>
      <c r="J14" s="1"/>
    </row>
    <row r="15" spans="1:10" x14ac:dyDescent="0.3">
      <c r="A15" s="1"/>
      <c r="B15" s="45" t="s">
        <v>74</v>
      </c>
      <c r="C15" s="20">
        <f>Extension!K99</f>
        <v>4333.3883466820535</v>
      </c>
      <c r="D15" s="20">
        <f>Extension!L99</f>
        <v>4318.5878128778168</v>
      </c>
      <c r="E15" s="20">
        <f>Extension!M99</f>
        <v>4346.3448657681711</v>
      </c>
      <c r="F15" s="1"/>
      <c r="G15" s="1"/>
      <c r="H15" s="1"/>
      <c r="I15" s="1"/>
      <c r="J15" s="1"/>
    </row>
    <row r="16" spans="1:10" x14ac:dyDescent="0.3">
      <c r="A16" s="1"/>
      <c r="B16" s="45" t="s">
        <v>75</v>
      </c>
      <c r="C16" s="20">
        <f>Extension!K148</f>
        <v>3795.2786929197873</v>
      </c>
      <c r="D16" s="20">
        <f>Extension!L148</f>
        <v>3625.8985472481154</v>
      </c>
      <c r="E16" s="20">
        <f>Extension!M148</f>
        <v>3889.0183925253332</v>
      </c>
      <c r="F16" s="1"/>
      <c r="G16" s="1"/>
      <c r="H16" s="1"/>
      <c r="I16" s="1"/>
      <c r="J16" s="1"/>
    </row>
    <row r="17" spans="1:10" x14ac:dyDescent="0.3">
      <c r="A17" s="1"/>
      <c r="B17" s="43" t="s">
        <v>343</v>
      </c>
      <c r="C17" s="42">
        <f>SUM(C14:C16)</f>
        <v>12668.992696840862</v>
      </c>
      <c r="D17" s="42">
        <f>SUM(D14:D16)</f>
        <v>12384.547726839384</v>
      </c>
      <c r="E17" s="42">
        <f>SUM(E14:E16)</f>
        <v>12755.646335987694</v>
      </c>
      <c r="F17" s="1"/>
      <c r="G17" s="1"/>
      <c r="H17" s="1"/>
      <c r="I17" s="1"/>
      <c r="J17" s="1"/>
    </row>
    <row r="18" spans="1:10" x14ac:dyDescent="0.3">
      <c r="A18" s="1"/>
      <c r="B18" s="1"/>
      <c r="C18" s="1"/>
      <c r="D18" s="1"/>
      <c r="E18" s="1"/>
      <c r="F18" s="1"/>
      <c r="G18" s="1"/>
      <c r="H18" s="1"/>
      <c r="I18" s="1"/>
      <c r="J18" s="1"/>
    </row>
    <row r="19" spans="1:10" x14ac:dyDescent="0.3">
      <c r="A19" s="1"/>
      <c r="B19" s="1"/>
      <c r="C19" s="1"/>
      <c r="D19" s="1"/>
      <c r="E19" s="1"/>
      <c r="F19" s="1"/>
      <c r="G19" s="1"/>
      <c r="H19" s="1"/>
      <c r="I19" s="1"/>
      <c r="J19" s="1"/>
    </row>
    <row r="20" spans="1:10" x14ac:dyDescent="0.3">
      <c r="A20" s="1"/>
      <c r="B20" s="5" t="s">
        <v>345</v>
      </c>
      <c r="C20" s="1"/>
      <c r="D20" s="1"/>
      <c r="E20" s="1"/>
      <c r="F20" s="1"/>
      <c r="G20" s="1"/>
      <c r="H20" s="1"/>
      <c r="I20" s="1"/>
      <c r="J20" s="1"/>
    </row>
    <row r="21" spans="1:10" ht="26.4" x14ac:dyDescent="0.3">
      <c r="A21" s="1"/>
      <c r="B21" s="13" t="s">
        <v>346</v>
      </c>
      <c r="C21" s="13" t="s">
        <v>347</v>
      </c>
      <c r="D21" s="13" t="s">
        <v>348</v>
      </c>
      <c r="E21" s="13" t="s">
        <v>349</v>
      </c>
      <c r="F21" s="13" t="s">
        <v>350</v>
      </c>
      <c r="G21" s="1"/>
      <c r="H21" s="1"/>
      <c r="I21" s="1"/>
      <c r="J21" s="1"/>
    </row>
    <row r="22" spans="1:10" x14ac:dyDescent="0.3">
      <c r="A22" s="1"/>
      <c r="B22" s="45" t="s">
        <v>308</v>
      </c>
      <c r="C22" s="20">
        <f>C9</f>
        <v>10337.251356898816</v>
      </c>
      <c r="D22" s="20">
        <f>C17</f>
        <v>12668.992696840862</v>
      </c>
      <c r="E22" s="42">
        <f>D22-C22</f>
        <v>2331.7413399420457</v>
      </c>
      <c r="F22" s="30">
        <f>E22/C22</f>
        <v>0.22556686099984416</v>
      </c>
      <c r="G22" s="1"/>
      <c r="H22" s="1"/>
      <c r="I22" s="1"/>
      <c r="J22" s="1"/>
    </row>
    <row r="23" spans="1:10" x14ac:dyDescent="0.3">
      <c r="A23" s="1"/>
      <c r="B23" s="45" t="s">
        <v>309</v>
      </c>
      <c r="C23" s="20">
        <f>D9</f>
        <v>10572.331666851765</v>
      </c>
      <c r="D23" s="20">
        <f>D17</f>
        <v>12384.547726839384</v>
      </c>
      <c r="E23" s="42">
        <f>D23-C23</f>
        <v>1812.2160599876188</v>
      </c>
      <c r="F23" s="30">
        <f>E23/C23</f>
        <v>0.17141120020568382</v>
      </c>
      <c r="G23" s="1"/>
      <c r="H23" s="1"/>
      <c r="I23" s="1"/>
      <c r="J23" s="1"/>
    </row>
    <row r="24" spans="1:10" x14ac:dyDescent="0.3">
      <c r="A24" s="1"/>
      <c r="B24" s="45" t="s">
        <v>310</v>
      </c>
      <c r="C24" s="20">
        <f>E9</f>
        <v>10561.083223128107</v>
      </c>
      <c r="D24" s="20">
        <f>E17</f>
        <v>12755.646335987694</v>
      </c>
      <c r="E24" s="42">
        <f>D24-C24</f>
        <v>2194.5631128595869</v>
      </c>
      <c r="F24" s="30">
        <f>E24/C24</f>
        <v>0.20779716119021124</v>
      </c>
      <c r="G24" s="1"/>
      <c r="H24" s="1"/>
      <c r="I24" s="1"/>
      <c r="J24" s="1"/>
    </row>
    <row r="25" spans="1:10" x14ac:dyDescent="0.3">
      <c r="A25" s="1"/>
      <c r="B25" s="1"/>
      <c r="C25" s="1"/>
      <c r="D25" s="1"/>
      <c r="E25" s="1"/>
      <c r="F25" s="1"/>
      <c r="G25" s="1"/>
      <c r="H25" s="1"/>
      <c r="I25" s="1"/>
      <c r="J25" s="1"/>
    </row>
    <row r="26" spans="1:10" x14ac:dyDescent="0.3">
      <c r="A26" s="1"/>
      <c r="B26" s="6" t="s">
        <v>351</v>
      </c>
      <c r="C26" s="22">
        <f>MAX(C22:C24)-MIN(C22:C24)</f>
        <v>235.08030995294939</v>
      </c>
      <c r="D26" s="22">
        <f>MAX(D22:D24)-MIN(D22:D24)</f>
        <v>371.09860914831006</v>
      </c>
      <c r="E26" s="1"/>
      <c r="F26" s="1"/>
      <c r="G26" s="1"/>
      <c r="H26" s="1"/>
      <c r="I26" s="1"/>
      <c r="J26" s="1"/>
    </row>
    <row r="27" spans="1:10" x14ac:dyDescent="0.3">
      <c r="A27" s="1"/>
      <c r="B27" s="1"/>
      <c r="C27" s="1"/>
      <c r="D27" s="1"/>
      <c r="E27" s="1"/>
      <c r="F27" s="1"/>
      <c r="G27" s="1"/>
      <c r="H27" s="1"/>
      <c r="I27" s="1"/>
      <c r="J27" s="1"/>
    </row>
    <row r="28" spans="1:10" x14ac:dyDescent="0.3">
      <c r="A28" s="1"/>
      <c r="B28" s="5" t="s">
        <v>352</v>
      </c>
      <c r="C28" s="1"/>
      <c r="D28" s="1"/>
      <c r="E28" s="1"/>
      <c r="F28" s="1"/>
      <c r="G28" s="1"/>
      <c r="H28" s="1"/>
      <c r="I28" s="1"/>
      <c r="J28" s="1"/>
    </row>
    <row r="29" spans="1:10" x14ac:dyDescent="0.3">
      <c r="A29" s="1"/>
      <c r="B29" s="4" t="s">
        <v>353</v>
      </c>
      <c r="C29" s="1"/>
      <c r="D29" s="1"/>
      <c r="E29" s="1"/>
      <c r="F29" s="1"/>
      <c r="G29" s="1"/>
      <c r="H29" s="1"/>
      <c r="I29" s="1"/>
      <c r="J29" s="1"/>
    </row>
    <row r="30" spans="1:10" ht="26.4" x14ac:dyDescent="0.3">
      <c r="A30" s="1"/>
      <c r="B30" s="13" t="s">
        <v>55</v>
      </c>
      <c r="C30" s="13" t="s">
        <v>354</v>
      </c>
      <c r="D30" s="13" t="s">
        <v>355</v>
      </c>
      <c r="E30" s="13" t="s">
        <v>356</v>
      </c>
      <c r="F30" s="13" t="s">
        <v>357</v>
      </c>
      <c r="G30" s="13" t="s">
        <v>358</v>
      </c>
      <c r="H30" s="13" t="s">
        <v>359</v>
      </c>
      <c r="I30" s="1"/>
      <c r="J30" s="1"/>
    </row>
    <row r="31" spans="1:10" x14ac:dyDescent="0.3">
      <c r="A31" s="1"/>
      <c r="B31" s="46">
        <v>2020</v>
      </c>
      <c r="C31" s="32">
        <f>'S3 BF'!G8/'Raw Data'!C63</f>
        <v>0.57916666666666672</v>
      </c>
      <c r="D31" s="32">
        <f>'S3 BF'!G21/'Raw Data'!D63</f>
        <v>0.59719354838709671</v>
      </c>
      <c r="E31" s="32">
        <f>'S3 BF'!G34/'Raw Data'!E63</f>
        <v>0.72233333333333338</v>
      </c>
      <c r="F31" s="32">
        <f>Extension!J44/'Raw Data'!C63</f>
        <v>0.58687333932310548</v>
      </c>
      <c r="G31" s="32">
        <f>Extension!J93/'Raw Data'!D63</f>
        <v>0.62061988474777774</v>
      </c>
      <c r="H31" s="32">
        <f>Extension!J142/'Raw Data'!E63</f>
        <v>0.76588337418089569</v>
      </c>
      <c r="I31" s="1"/>
      <c r="J31" s="1"/>
    </row>
    <row r="32" spans="1:10" x14ac:dyDescent="0.3">
      <c r="A32" s="1"/>
      <c r="B32" s="46">
        <v>2021</v>
      </c>
      <c r="C32" s="32">
        <f>'S3 BF'!G9/'Raw Data'!C64</f>
        <v>0.56991225571464144</v>
      </c>
      <c r="D32" s="32">
        <f>'S3 BF'!G22/'Raw Data'!D64</f>
        <v>0.66127659895784885</v>
      </c>
      <c r="E32" s="32">
        <f>'S3 BF'!G35/'Raw Data'!E64</f>
        <v>0.77761020962214611</v>
      </c>
      <c r="F32" s="32">
        <f>Extension!J45/'Raw Data'!C64</f>
        <v>0.57932174231255296</v>
      </c>
      <c r="G32" s="32">
        <f>Extension!J94/'Raw Data'!D64</f>
        <v>0.68793786470269458</v>
      </c>
      <c r="H32" s="32">
        <f>Extension!J143/'Raw Data'!E64</f>
        <v>0.82705462880959602</v>
      </c>
      <c r="I32" s="1"/>
      <c r="J32" s="1"/>
    </row>
    <row r="33" spans="1:10" x14ac:dyDescent="0.3">
      <c r="A33" s="1"/>
      <c r="B33" s="46">
        <v>2022</v>
      </c>
      <c r="C33" s="32">
        <f>'S3 BF'!G10/'Raw Data'!C65</f>
        <v>0.67699406707933873</v>
      </c>
      <c r="D33" s="32">
        <f>'S3 BF'!G23/'Raw Data'!D65</f>
        <v>0.70743204662727766</v>
      </c>
      <c r="E33" s="32">
        <f>'S3 BF'!G36/'Raw Data'!E65</f>
        <v>0.88600257924598314</v>
      </c>
      <c r="F33" s="32">
        <f>Extension!J46/'Raw Data'!C65</f>
        <v>0.68903950016754967</v>
      </c>
      <c r="G33" s="32">
        <f>Extension!J95/'Raw Data'!D65</f>
        <v>0.73835150221521861</v>
      </c>
      <c r="H33" s="32">
        <f>Extension!J144/'Raw Data'!E65</f>
        <v>0.94094535516859146</v>
      </c>
      <c r="I33" s="1"/>
      <c r="J33" s="1"/>
    </row>
    <row r="34" spans="1:10" x14ac:dyDescent="0.3">
      <c r="A34" s="1"/>
      <c r="B34" s="46">
        <v>2023</v>
      </c>
      <c r="C34" s="32">
        <f>'S3 BF'!G11/'Raw Data'!C66</f>
        <v>0.65102212740495069</v>
      </c>
      <c r="D34" s="32">
        <f>'S3 BF'!G24/'Raw Data'!D66</f>
        <v>0.6946307463924144</v>
      </c>
      <c r="E34" s="32">
        <f>'S3 BF'!G37/'Raw Data'!E66</f>
        <v>0.80375184840083869</v>
      </c>
      <c r="F34" s="32">
        <f>Extension!J47/'Raw Data'!C66</f>
        <v>0.66737826056691985</v>
      </c>
      <c r="G34" s="32">
        <f>Extension!J96/'Raw Data'!D66</f>
        <v>0.73066967220276946</v>
      </c>
      <c r="H34" s="32">
        <f>Extension!J145/'Raw Data'!E66</f>
        <v>0.86436827323172172</v>
      </c>
      <c r="I34" s="1"/>
      <c r="J34" s="1"/>
    </row>
    <row r="35" spans="1:10" x14ac:dyDescent="0.3">
      <c r="A35" s="1"/>
      <c r="B35" s="46">
        <v>2024</v>
      </c>
      <c r="C35" s="32">
        <f>'S3 BF'!G12/'Raw Data'!C67</f>
        <v>0.62352738083739079</v>
      </c>
      <c r="D35" s="32">
        <f>'S3 BF'!G25/'Raw Data'!D67</f>
        <v>0.68450270752095121</v>
      </c>
      <c r="E35" s="32">
        <f>'S3 BF'!G38/'Raw Data'!E67</f>
        <v>0.76500635454021804</v>
      </c>
      <c r="F35" s="32">
        <f>Extension!J48/'Raw Data'!C67</f>
        <v>0.64767927029762606</v>
      </c>
      <c r="G35" s="32">
        <f>Extension!J97/'Raw Data'!D67</f>
        <v>0.7287682909341755</v>
      </c>
      <c r="H35" s="32">
        <f>Extension!J146/'Raw Data'!E67</f>
        <v>0.83474520554869169</v>
      </c>
      <c r="I35" s="1"/>
      <c r="J35" s="1"/>
    </row>
    <row r="36" spans="1:10" x14ac:dyDescent="0.3">
      <c r="A36" s="1"/>
      <c r="B36" s="46">
        <v>2025</v>
      </c>
      <c r="C36" s="32">
        <f>'S3 BF'!G13/'Raw Data'!C68</f>
        <v>0.64024143278426882</v>
      </c>
      <c r="D36" s="32">
        <f>'S3 BF'!G26/'Raw Data'!D68</f>
        <v>0.67283825401365926</v>
      </c>
      <c r="E36" s="32">
        <f>'S3 BF'!G39/'Raw Data'!E68</f>
        <v>0.7508045328402384</v>
      </c>
      <c r="F36" s="32">
        <f>Extension!J49/'Raw Data'!C68</f>
        <v>0.68027086181312513</v>
      </c>
      <c r="G36" s="32">
        <f>Extension!J98/'Raw Data'!D68</f>
        <v>0.73440082714453325</v>
      </c>
      <c r="H36" s="32">
        <f>Extension!J147/'Raw Data'!E68</f>
        <v>0.83915227666386549</v>
      </c>
      <c r="I36" s="1"/>
      <c r="J36" s="1"/>
    </row>
    <row r="37" spans="1:10" x14ac:dyDescent="0.3">
      <c r="A37" s="1"/>
      <c r="B37" s="1"/>
      <c r="C37" s="1"/>
      <c r="D37" s="1"/>
      <c r="E37" s="1"/>
      <c r="F37" s="1"/>
      <c r="G37" s="1"/>
      <c r="H37" s="1"/>
      <c r="I37" s="1"/>
      <c r="J37" s="1"/>
    </row>
    <row r="38" spans="1:10" x14ac:dyDescent="0.3">
      <c r="A38" s="1"/>
      <c r="B38" s="5" t="s">
        <v>360</v>
      </c>
      <c r="C38" s="1"/>
      <c r="D38" s="1"/>
      <c r="E38" s="1"/>
      <c r="F38" s="1"/>
      <c r="G38" s="1"/>
      <c r="H38" s="1"/>
      <c r="I38" s="1"/>
      <c r="J38" s="1"/>
    </row>
    <row r="39" spans="1:10" ht="39.6" x14ac:dyDescent="0.3">
      <c r="A39" s="1"/>
      <c r="B39" s="13" t="s">
        <v>342</v>
      </c>
      <c r="C39" s="13" t="s">
        <v>361</v>
      </c>
      <c r="D39" s="13" t="s">
        <v>216</v>
      </c>
      <c r="E39" s="13" t="s">
        <v>362</v>
      </c>
      <c r="F39" s="13" t="s">
        <v>363</v>
      </c>
      <c r="G39" s="13" t="s">
        <v>364</v>
      </c>
      <c r="H39" s="13" t="s">
        <v>365</v>
      </c>
      <c r="I39" s="1"/>
      <c r="J39" s="4" t="s">
        <v>366</v>
      </c>
    </row>
    <row r="40" spans="1:10" x14ac:dyDescent="0.3">
      <c r="A40" s="1"/>
      <c r="B40" s="45" t="s">
        <v>73</v>
      </c>
      <c r="C40" s="47">
        <f>'Raw Data'!C68</f>
        <v>5700</v>
      </c>
      <c r="D40" s="20">
        <f>'S3 BF'!H14</f>
        <v>3953.1084384002825</v>
      </c>
      <c r="E40" s="32">
        <f>D40/C40</f>
        <v>0.69352779621057592</v>
      </c>
      <c r="F40" s="32">
        <f>'S3 BF'!G13/C40</f>
        <v>0.64024143278426882</v>
      </c>
      <c r="G40" s="29">
        <f>INDEX(Exp_ratio,1)</f>
        <v>0.27</v>
      </c>
      <c r="H40" s="44">
        <f>F40+G40</f>
        <v>0.91024143278426883</v>
      </c>
      <c r="I40" s="1"/>
      <c r="J40" s="32">
        <v>1</v>
      </c>
    </row>
    <row r="41" spans="1:10" x14ac:dyDescent="0.3">
      <c r="A41" s="1"/>
      <c r="B41" s="45" t="s">
        <v>74</v>
      </c>
      <c r="C41" s="47">
        <f>'Raw Data'!D68</f>
        <v>4150</v>
      </c>
      <c r="D41" s="20">
        <f>'S3 BF'!H27</f>
        <v>3532.9964909688233</v>
      </c>
      <c r="E41" s="32">
        <f>D41/C41</f>
        <v>0.85132445565513815</v>
      </c>
      <c r="F41" s="32">
        <f>'S3 BF'!G26/C41</f>
        <v>0.67283825401365926</v>
      </c>
      <c r="G41" s="29">
        <f>INDEX(Exp_ratio,2)</f>
        <v>0.255</v>
      </c>
      <c r="H41" s="44">
        <f>F41+G41</f>
        <v>0.92783825401365927</v>
      </c>
      <c r="I41" s="1"/>
      <c r="J41" s="32">
        <v>1</v>
      </c>
    </row>
    <row r="42" spans="1:10" x14ac:dyDescent="0.3">
      <c r="A42" s="1"/>
      <c r="B42" s="45" t="s">
        <v>75</v>
      </c>
      <c r="C42" s="47">
        <f>'Raw Data'!E68</f>
        <v>2650</v>
      </c>
      <c r="D42" s="20">
        <f>'S3 BF'!H40</f>
        <v>3074.9782937590021</v>
      </c>
      <c r="E42" s="32">
        <f>D42/C42</f>
        <v>1.1603691674562273</v>
      </c>
      <c r="F42" s="32">
        <f>'S3 BF'!G39/C42</f>
        <v>0.7508045328402384</v>
      </c>
      <c r="G42" s="29">
        <f>INDEX(Exp_ratio,3)</f>
        <v>0.28999999999999998</v>
      </c>
      <c r="H42" s="44">
        <f>F42+G42</f>
        <v>1.0408045328402384</v>
      </c>
      <c r="I42" s="1"/>
      <c r="J42" s="32">
        <v>1</v>
      </c>
    </row>
    <row r="43" spans="1:10" x14ac:dyDescent="0.3">
      <c r="A43" s="1"/>
      <c r="B43" s="43" t="s">
        <v>367</v>
      </c>
      <c r="C43" s="42">
        <f>SUM(C40:C42)</f>
        <v>12500</v>
      </c>
      <c r="D43" s="42">
        <f>SUM(D40:D42)</f>
        <v>10561.083223128107</v>
      </c>
      <c r="E43" s="44">
        <f>D43/C43</f>
        <v>0.84488665785024863</v>
      </c>
      <c r="F43" s="1"/>
      <c r="G43" s="1"/>
      <c r="H43" s="1"/>
      <c r="I43" s="1"/>
      <c r="J43" s="1"/>
    </row>
    <row r="44" spans="1:10" x14ac:dyDescent="0.3">
      <c r="A44" s="1"/>
      <c r="B44" s="6" t="s">
        <v>368</v>
      </c>
      <c r="C44" s="1"/>
      <c r="D44" s="1"/>
      <c r="E44" s="39" t="str">
        <f>IF(AND(MIN(C9:E9)&gt;0,MAX(C17:E17)&lt;3*C43),"OK","REVIEW")</f>
        <v>OK</v>
      </c>
      <c r="F44" s="1"/>
      <c r="G44" s="1"/>
      <c r="H44" s="1"/>
      <c r="I44" s="1"/>
      <c r="J44" s="1"/>
    </row>
    <row r="45" spans="1:10" x14ac:dyDescent="0.3">
      <c r="A45" s="1"/>
      <c r="B45" s="1"/>
      <c r="C45" s="1"/>
      <c r="D45" s="1"/>
      <c r="E45" s="1"/>
      <c r="F45" s="1"/>
      <c r="G45" s="1"/>
      <c r="H45" s="1"/>
      <c r="I45" s="1"/>
      <c r="J45" s="1"/>
    </row>
    <row r="46" spans="1:10" x14ac:dyDescent="0.3">
      <c r="A46" s="1"/>
      <c r="B46" s="1"/>
      <c r="C46" s="1"/>
      <c r="D46" s="1"/>
      <c r="E46" s="1"/>
      <c r="F46" s="1"/>
      <c r="G46" s="1"/>
      <c r="H46" s="1"/>
      <c r="I46" s="1"/>
      <c r="J46" s="1"/>
    </row>
    <row r="47" spans="1:10" x14ac:dyDescent="0.3">
      <c r="A47" s="1"/>
      <c r="B47" s="5" t="s">
        <v>369</v>
      </c>
      <c r="C47" s="1"/>
      <c r="D47" s="1"/>
      <c r="E47" s="1"/>
      <c r="F47" s="1"/>
      <c r="G47" s="1"/>
      <c r="H47" s="1"/>
      <c r="I47" s="1"/>
      <c r="J47" s="1"/>
    </row>
    <row r="48" spans="1:10" x14ac:dyDescent="0.3">
      <c r="A48" s="1"/>
      <c r="B48" s="13" t="s">
        <v>206</v>
      </c>
      <c r="C48" s="13" t="s">
        <v>73</v>
      </c>
      <c r="D48" s="13" t="s">
        <v>74</v>
      </c>
      <c r="E48" s="13" t="s">
        <v>75</v>
      </c>
      <c r="F48" s="1"/>
      <c r="G48" s="1"/>
      <c r="H48" s="1"/>
      <c r="I48" s="1"/>
      <c r="J48" s="1"/>
    </row>
    <row r="49" spans="1:10" x14ac:dyDescent="0.3">
      <c r="A49" s="1"/>
      <c r="B49" s="64">
        <v>12</v>
      </c>
      <c r="C49" s="32">
        <f>'Dev Factors'!C16</f>
        <v>0.41743526870703695</v>
      </c>
      <c r="D49" s="32">
        <f>'Dev Factors'!C31</f>
        <v>0.33355569171508731</v>
      </c>
      <c r="E49" s="32">
        <f>'Dev Factors'!C46</f>
        <v>0.25990131506288572</v>
      </c>
      <c r="F49" s="1"/>
      <c r="G49" s="1"/>
      <c r="H49" s="1"/>
      <c r="I49" s="1"/>
      <c r="J49" s="1"/>
    </row>
    <row r="50" spans="1:10" x14ac:dyDescent="0.3">
      <c r="A50" s="1"/>
      <c r="B50" s="64">
        <v>24</v>
      </c>
      <c r="C50" s="32">
        <f>'Dev Factors'!D16</f>
        <v>0.69298049946260576</v>
      </c>
      <c r="D50" s="32">
        <f>'Dev Factors'!D31</f>
        <v>0.63803077720876833</v>
      </c>
      <c r="E50" s="32">
        <f>'Dev Factors'!D46</f>
        <v>0.54383176339938566</v>
      </c>
      <c r="F50" s="1"/>
      <c r="G50" s="1"/>
      <c r="H50" s="1"/>
      <c r="I50" s="1"/>
      <c r="J50" s="1"/>
    </row>
    <row r="51" spans="1:10" x14ac:dyDescent="0.3">
      <c r="A51" s="1"/>
      <c r="B51" s="64">
        <v>36</v>
      </c>
      <c r="C51" s="32">
        <f>'Dev Factors'!E16</f>
        <v>0.84519271012612696</v>
      </c>
      <c r="D51" s="32">
        <f>'Dev Factors'!E31</f>
        <v>0.81605800622046443</v>
      </c>
      <c r="E51" s="32">
        <f>'Dev Factors'!E46</f>
        <v>0.72947301446415302</v>
      </c>
      <c r="F51" s="1"/>
      <c r="G51" s="1"/>
      <c r="H51" s="1"/>
      <c r="I51" s="1"/>
      <c r="J51" s="1"/>
    </row>
    <row r="52" spans="1:10" x14ac:dyDescent="0.3">
      <c r="A52" s="1"/>
      <c r="B52" s="64">
        <v>48</v>
      </c>
      <c r="C52" s="32">
        <f>'Dev Factors'!F16</f>
        <v>0.92659806022030655</v>
      </c>
      <c r="D52" s="32">
        <f>'Dev Factors'!F31</f>
        <v>0.90751402310299334</v>
      </c>
      <c r="E52" s="32">
        <f>'Dev Factors'!F46</f>
        <v>0.89338087298134794</v>
      </c>
      <c r="F52" s="1"/>
      <c r="G52" s="1"/>
      <c r="H52" s="1"/>
      <c r="I52" s="1"/>
      <c r="J52" s="1"/>
    </row>
    <row r="53" spans="1:10" x14ac:dyDescent="0.3">
      <c r="A53" s="1"/>
      <c r="B53" s="64">
        <v>60</v>
      </c>
      <c r="C53" s="32">
        <f>'Dev Factors'!G16</f>
        <v>0.96386433710174713</v>
      </c>
      <c r="D53" s="32">
        <f>'Dev Factors'!G31</f>
        <v>0.98039215686274506</v>
      </c>
      <c r="E53" s="32">
        <f>'Dev Factors'!G46</f>
        <v>0.95493001076757411</v>
      </c>
      <c r="F53" s="1"/>
      <c r="G53" s="1"/>
      <c r="H53" s="1"/>
      <c r="I53" s="1"/>
      <c r="J53" s="1"/>
    </row>
    <row r="54" spans="1:10" x14ac:dyDescent="0.3">
      <c r="A54" s="1"/>
      <c r="B54" s="64">
        <v>72</v>
      </c>
      <c r="C54" s="32">
        <f>'Dev Factors'!H16</f>
        <v>1</v>
      </c>
      <c r="D54" s="32">
        <f>'Dev Factors'!H31</f>
        <v>1</v>
      </c>
      <c r="E54" s="32">
        <f>'Dev Factors'!H46</f>
        <v>1</v>
      </c>
      <c r="F54" s="1"/>
      <c r="G54" s="1"/>
      <c r="H54" s="1"/>
      <c r="I54" s="1"/>
      <c r="J54" s="1"/>
    </row>
    <row r="55" spans="1:10" x14ac:dyDescent="0.3">
      <c r="A55" s="1"/>
      <c r="B55" s="1"/>
      <c r="C55" s="1"/>
      <c r="D55" s="1"/>
      <c r="E55" s="1"/>
      <c r="F55" s="1"/>
      <c r="G55" s="1"/>
      <c r="H55" s="1"/>
      <c r="I55" s="1"/>
      <c r="J55" s="1"/>
    </row>
    <row r="56" spans="1:10" x14ac:dyDescent="0.3">
      <c r="A56" s="1"/>
      <c r="B56" s="5" t="s">
        <v>370</v>
      </c>
      <c r="C56" s="1"/>
      <c r="D56" s="1"/>
      <c r="E56" s="1"/>
      <c r="F56" s="1"/>
      <c r="G56" s="1"/>
      <c r="H56" s="1"/>
      <c r="I56" s="1"/>
      <c r="J56" s="1"/>
    </row>
    <row r="57" spans="1:10" ht="26.4" x14ac:dyDescent="0.3">
      <c r="A57" s="1"/>
      <c r="B57" s="13" t="s">
        <v>371</v>
      </c>
      <c r="C57" s="13" t="s">
        <v>308</v>
      </c>
      <c r="D57" s="13" t="s">
        <v>309</v>
      </c>
      <c r="E57" s="13" t="s">
        <v>310</v>
      </c>
      <c r="F57" s="1"/>
      <c r="G57" s="1"/>
      <c r="H57" s="1"/>
      <c r="I57" s="1"/>
      <c r="J57" s="1"/>
    </row>
    <row r="58" spans="1:10" x14ac:dyDescent="0.3">
      <c r="A58" s="1"/>
      <c r="B58" s="16" t="s">
        <v>311</v>
      </c>
      <c r="C58" s="20">
        <f>ADC!C9</f>
        <v>10337.251356898816</v>
      </c>
      <c r="D58" s="20">
        <f>ADC!D9</f>
        <v>10572.331666851765</v>
      </c>
      <c r="E58" s="20">
        <f>ADC!E9</f>
        <v>10561.083223128107</v>
      </c>
      <c r="F58" s="1"/>
      <c r="G58" s="1"/>
      <c r="H58" s="1"/>
      <c r="I58" s="1"/>
      <c r="J58" s="1"/>
    </row>
    <row r="59" spans="1:10" x14ac:dyDescent="0.3">
      <c r="A59" s="1"/>
      <c r="B59" s="16" t="s">
        <v>312</v>
      </c>
      <c r="C59" s="20">
        <f>ADC!C10</f>
        <v>10854.113924743757</v>
      </c>
      <c r="D59" s="20">
        <f>ADC!D10</f>
        <v>11100.948250194355</v>
      </c>
      <c r="E59" s="20">
        <f>ADC!E10</f>
        <v>11089.137384284513</v>
      </c>
      <c r="F59" s="1"/>
      <c r="G59" s="1"/>
      <c r="H59" s="1"/>
      <c r="I59" s="1"/>
      <c r="J59" s="1"/>
    </row>
    <row r="60" spans="1:10" x14ac:dyDescent="0.3">
      <c r="A60" s="1"/>
      <c r="B60" s="16" t="s">
        <v>313</v>
      </c>
      <c r="C60" s="20">
        <f>ADC!C11</f>
        <v>13438.426763968462</v>
      </c>
      <c r="D60" s="20">
        <f>ADC!D11</f>
        <v>13744.031166907296</v>
      </c>
      <c r="E60" s="20">
        <f>ADC!E11</f>
        <v>13729.408190066541</v>
      </c>
      <c r="F60" s="1"/>
      <c r="G60" s="1"/>
      <c r="H60" s="1"/>
      <c r="I60" s="1"/>
      <c r="J60" s="1"/>
    </row>
    <row r="61" spans="1:10" x14ac:dyDescent="0.3">
      <c r="A61" s="1"/>
      <c r="B61" s="16" t="s">
        <v>314</v>
      </c>
      <c r="C61" s="20">
        <f>ADC!C12</f>
        <v>2584.3128392247054</v>
      </c>
      <c r="D61" s="20">
        <f>ADC!D12</f>
        <v>2643.0829167129414</v>
      </c>
      <c r="E61" s="20">
        <f>ADC!E12</f>
        <v>2640.2708057820273</v>
      </c>
      <c r="F61" s="1"/>
      <c r="G61" s="1"/>
      <c r="H61" s="1"/>
      <c r="I61" s="1"/>
      <c r="J61" s="1"/>
    </row>
    <row r="62" spans="1:10" x14ac:dyDescent="0.3">
      <c r="A62" s="1"/>
      <c r="B62" s="16" t="s">
        <v>315</v>
      </c>
      <c r="C62" s="20">
        <f>ADC!C13</f>
        <v>310.11754070696463</v>
      </c>
      <c r="D62" s="20">
        <f>ADC!D13</f>
        <v>317.16995000555295</v>
      </c>
      <c r="E62" s="20">
        <f>ADC!E13</f>
        <v>316.83249669384327</v>
      </c>
      <c r="F62" s="1"/>
      <c r="G62" s="1"/>
      <c r="H62" s="1"/>
      <c r="I62" s="1"/>
      <c r="J62" s="1"/>
    </row>
    <row r="63" spans="1:10" x14ac:dyDescent="0.3">
      <c r="A63" s="1"/>
      <c r="B63" s="16" t="s">
        <v>316</v>
      </c>
      <c r="C63" s="20">
        <f>ADC!C14</f>
        <v>12668.992696840862</v>
      </c>
      <c r="D63" s="20">
        <f>ADC!D14</f>
        <v>12384.547726839384</v>
      </c>
      <c r="E63" s="20">
        <f>ADC!E14</f>
        <v>12755.646335987694</v>
      </c>
      <c r="F63" s="1"/>
      <c r="G63" s="1"/>
      <c r="H63" s="1"/>
      <c r="I63" s="1"/>
      <c r="J63" s="1"/>
    </row>
    <row r="64" spans="1:10" x14ac:dyDescent="0.3">
      <c r="A64" s="1"/>
      <c r="B64" s="16" t="s">
        <v>317</v>
      </c>
      <c r="C64" s="20">
        <f>ADC!C15</f>
        <v>1814.878772097105</v>
      </c>
      <c r="D64" s="20">
        <f>ADC!D15</f>
        <v>1283.5994766450294</v>
      </c>
      <c r="E64" s="20">
        <f>ADC!E15</f>
        <v>1666.5089517031811</v>
      </c>
      <c r="F64" s="1"/>
      <c r="G64" s="1"/>
      <c r="H64" s="1"/>
      <c r="I64" s="1"/>
      <c r="J64" s="1"/>
    </row>
    <row r="65" spans="1:10" x14ac:dyDescent="0.3">
      <c r="A65" s="1"/>
      <c r="B65" s="16" t="s">
        <v>318</v>
      </c>
      <c r="C65" s="20">
        <f>ADC!C16</f>
        <v>1504.7612313901404</v>
      </c>
      <c r="D65" s="20">
        <f>ADC!D16</f>
        <v>966.42952663947653</v>
      </c>
      <c r="E65" s="20">
        <f>ADC!E16</f>
        <v>1349.6764550093378</v>
      </c>
      <c r="F65" s="1"/>
      <c r="G65" s="1"/>
      <c r="H65" s="1"/>
      <c r="I65" s="1"/>
      <c r="J65" s="1"/>
    </row>
    <row r="66" spans="1:10" x14ac:dyDescent="0.3">
      <c r="A66" s="1"/>
      <c r="B66" s="16" t="s">
        <v>372</v>
      </c>
      <c r="C66" s="54">
        <f>ADC!C94</f>
        <v>6.7160733620414068E-2</v>
      </c>
      <c r="D66" s="54">
        <f>ADC!D94</f>
        <v>8.8348096278157429E-2</v>
      </c>
      <c r="E66" s="54">
        <f>ADC!E94</f>
        <v>7.3951368650654908E-2</v>
      </c>
      <c r="F66" s="1"/>
      <c r="G66" s="1"/>
      <c r="H66" s="1"/>
      <c r="I66" s="1"/>
      <c r="J66" s="1"/>
    </row>
    <row r="67" spans="1:10" x14ac:dyDescent="0.3">
      <c r="A67" s="1"/>
      <c r="B67" s="6" t="s">
        <v>373</v>
      </c>
      <c r="C67" s="65" t="str">
        <f>ADC!C21</f>
        <v>Bornhuetter-Ferguson</v>
      </c>
      <c r="D67" s="1"/>
      <c r="E67" s="1"/>
      <c r="F67" s="1"/>
      <c r="G67" s="1"/>
      <c r="H67" s="1"/>
      <c r="I67" s="1"/>
      <c r="J67" s="1"/>
    </row>
  </sheetData>
  <pageMargins left="0.75" right="0.75" top="1" bottom="1" header="0.511811023622047" footer="0.511811023622047"/>
  <pageSetup orientation="landscape" horizontalDpi="300" verticalDpi="30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AD47"/>
    <pageSetUpPr fitToPage="1"/>
  </sheetPr>
  <dimension ref="A1:F45"/>
  <sheetViews>
    <sheetView showGridLines="0" zoomScaleNormal="100" workbookViewId="0">
      <pane xSplit="2" ySplit="6" topLeftCell="C51" activePane="bottomRight" state="frozen"/>
      <selection pane="topRight" activeCell="C1" sqref="C1"/>
      <selection pane="bottomLeft" activeCell="A7" sqref="A7"/>
      <selection pane="bottomRight" activeCell="C35" sqref="C35"/>
    </sheetView>
  </sheetViews>
  <sheetFormatPr defaultColWidth="8.6640625" defaultRowHeight="14.4" x14ac:dyDescent="0.3"/>
  <cols>
    <col min="1" max="1" width="2" customWidth="1"/>
    <col min="2" max="2" width="7" customWidth="1"/>
    <col min="3" max="3" width="68" customWidth="1"/>
    <col min="4" max="4" width="20" customWidth="1"/>
    <col min="5" max="5" width="11" customWidth="1"/>
    <col min="6" max="6" width="30" customWidth="1"/>
  </cols>
  <sheetData>
    <row r="1" spans="1:6" ht="17.399999999999999" x14ac:dyDescent="0.3">
      <c r="A1" s="1"/>
      <c r="B1" s="2" t="s">
        <v>374</v>
      </c>
      <c r="C1" s="1"/>
      <c r="D1" s="1"/>
      <c r="E1" s="1"/>
      <c r="F1" s="1"/>
    </row>
    <row r="2" spans="1:6" x14ac:dyDescent="0.3">
      <c r="A2" s="1"/>
      <c r="B2" s="4" t="s">
        <v>375</v>
      </c>
      <c r="C2" s="1"/>
      <c r="D2" s="1"/>
      <c r="E2" s="1"/>
      <c r="F2" s="1"/>
    </row>
    <row r="3" spans="1:6" x14ac:dyDescent="0.3">
      <c r="A3" s="1"/>
      <c r="B3" s="1"/>
      <c r="C3" s="1"/>
      <c r="D3" s="1"/>
      <c r="E3" s="1"/>
      <c r="F3" s="1"/>
    </row>
    <row r="4" spans="1:6" x14ac:dyDescent="0.3">
      <c r="A4" s="1"/>
      <c r="B4" s="3" t="s">
        <v>376</v>
      </c>
      <c r="C4" s="66" t="str">
        <f>IF(COUNTIF(E8:E42,"OK")+COUNTIF(E8:E42,"SEE NOTE")=35,"ALL CHECKS PASS","REVIEW REQUIRED - see table below")</f>
        <v>ALL CHECKS PASS</v>
      </c>
      <c r="D4" s="1"/>
      <c r="E4" s="1"/>
      <c r="F4" s="1"/>
    </row>
    <row r="5" spans="1:6" x14ac:dyDescent="0.3">
      <c r="A5" s="1"/>
      <c r="B5" s="1"/>
      <c r="C5" s="4" t="str">
        <f>COUNTIF(E8:E42,"OK")&amp;" of 35 checks read OK; "&amp;COUNTIF(E8:E42,"SEE NOTE")&amp;" flagged for narrative comment; "&amp;(35-COUNTIF(E8:E42,"OK")-COUNTIF(E8:E42,"SEE NOTE"))&amp;" require review."</f>
        <v>34 of 35 checks read OK; 1 flagged for narrative comment; 0 require review.</v>
      </c>
      <c r="D5" s="1"/>
      <c r="E5" s="1"/>
      <c r="F5" s="1"/>
    </row>
    <row r="6" spans="1:6" x14ac:dyDescent="0.3">
      <c r="A6" s="1"/>
      <c r="B6" s="1"/>
      <c r="C6" s="1"/>
      <c r="D6" s="1"/>
      <c r="E6" s="1"/>
      <c r="F6" s="1"/>
    </row>
    <row r="7" spans="1:6" x14ac:dyDescent="0.3">
      <c r="A7" s="1"/>
      <c r="B7" s="13" t="s">
        <v>377</v>
      </c>
      <c r="C7" s="13" t="s">
        <v>378</v>
      </c>
      <c r="D7" s="13" t="s">
        <v>379</v>
      </c>
      <c r="E7" s="13" t="s">
        <v>380</v>
      </c>
      <c r="F7" s="13" t="s">
        <v>381</v>
      </c>
    </row>
    <row r="8" spans="1:6" x14ac:dyDescent="0.3">
      <c r="A8" s="1"/>
      <c r="B8" s="14" t="s">
        <v>382</v>
      </c>
      <c r="C8" s="16" t="s">
        <v>383</v>
      </c>
      <c r="D8" s="16" t="s">
        <v>384</v>
      </c>
      <c r="E8" s="39" t="str">
        <f>IF(SUM('Data Validation'!J18:O23)+SUM('Data Validation'!J34:O39)+SUM('Data Validation'!J50:O55)=5,"OK","REVIEW")</f>
        <v>OK</v>
      </c>
      <c r="F8" s="24" t="s">
        <v>385</v>
      </c>
    </row>
    <row r="9" spans="1:6" x14ac:dyDescent="0.3">
      <c r="A9" s="1"/>
      <c r="B9" s="14" t="s">
        <v>386</v>
      </c>
      <c r="C9" s="16" t="s">
        <v>387</v>
      </c>
      <c r="D9" s="16" t="s">
        <v>384</v>
      </c>
      <c r="E9" s="39" t="str">
        <f>IF(AND(SUM('Data Validation'!G67:I72)=1,ISNUMBER('Data Validation'!D75)),"OK","REVIEW")</f>
        <v>OK</v>
      </c>
      <c r="F9" s="24" t="s">
        <v>388</v>
      </c>
    </row>
    <row r="10" spans="1:6" x14ac:dyDescent="0.3">
      <c r="A10" s="1"/>
      <c r="B10" s="14" t="s">
        <v>389</v>
      </c>
      <c r="C10" s="16" t="s">
        <v>390</v>
      </c>
      <c r="D10" s="16" t="s">
        <v>384</v>
      </c>
      <c r="E10" s="39" t="str">
        <f>IF(SUM('Data Validation'!J18:J23)+SUM('Data Validation'!J34:J39)+SUM('Data Validation'!J50:J55)=0,"OK","REVIEW")</f>
        <v>OK</v>
      </c>
      <c r="F10" s="24" t="s">
        <v>385</v>
      </c>
    </row>
    <row r="11" spans="1:6" x14ac:dyDescent="0.3">
      <c r="A11" s="1"/>
      <c r="B11" s="14" t="s">
        <v>391</v>
      </c>
      <c r="C11" s="16" t="s">
        <v>392</v>
      </c>
      <c r="D11" s="16" t="s">
        <v>384</v>
      </c>
      <c r="E11" s="39" t="str">
        <f>IF(COUNTIF('Data Validation'!X18:AC23,"CHECK C4")+COUNTIF('Data Validation'!X34:AC39,"CHECK C4")+COUNTIF('Data Validation'!X50:AC55,"CHECK C4")=0,"OK","REVIEW")</f>
        <v>OK</v>
      </c>
      <c r="F11" s="24" t="s">
        <v>393</v>
      </c>
    </row>
    <row r="12" spans="1:6" x14ac:dyDescent="0.3">
      <c r="A12" s="1"/>
      <c r="B12" s="14" t="s">
        <v>394</v>
      </c>
      <c r="C12" s="16" t="s">
        <v>395</v>
      </c>
      <c r="D12" s="16" t="s">
        <v>384</v>
      </c>
      <c r="E12" s="39" t="str">
        <f>IF(COUNTIF('Dev Factors'!C8:G12,"&lt;1")+COUNTIF('Dev Factors'!C23:G27,"&lt;1")+COUNTIF('Dev Factors'!C38:G42,"&lt;1")=0,"OK","REVIEW")</f>
        <v>OK</v>
      </c>
      <c r="F12" s="24" t="s">
        <v>396</v>
      </c>
    </row>
    <row r="13" spans="1:6" x14ac:dyDescent="0.3">
      <c r="A13" s="1"/>
      <c r="B13" s="14" t="s">
        <v>397</v>
      </c>
      <c r="C13" s="16" t="s">
        <v>398</v>
      </c>
      <c r="D13" s="16" t="s">
        <v>384</v>
      </c>
      <c r="E13" s="39" t="str">
        <f>IF(COUNTIF('Data Validation'!K67:M72,"&lt;"&amp;Val_rate_min)+COUNTIF('Data Validation'!K67:M72,"&gt;"&amp;Val_rate_max)=0,"OK","REVIEW")</f>
        <v>OK</v>
      </c>
      <c r="F13" s="24" t="s">
        <v>388</v>
      </c>
    </row>
    <row r="14" spans="1:6" x14ac:dyDescent="0.3">
      <c r="A14" s="1"/>
      <c r="B14" s="14" t="s">
        <v>399</v>
      </c>
      <c r="C14" s="16" t="s">
        <v>400</v>
      </c>
      <c r="D14" s="16" t="s">
        <v>401</v>
      </c>
      <c r="E14" s="39" t="str">
        <f>'Dev Factors'!H17</f>
        <v>OK</v>
      </c>
      <c r="F14" s="24" t="s">
        <v>402</v>
      </c>
    </row>
    <row r="15" spans="1:6" x14ac:dyDescent="0.3">
      <c r="A15" s="1"/>
      <c r="B15" s="14" t="s">
        <v>403</v>
      </c>
      <c r="C15" s="16" t="s">
        <v>404</v>
      </c>
      <c r="D15" s="16" t="s">
        <v>401</v>
      </c>
      <c r="E15" s="39" t="str">
        <f>'Dev Factors'!H32</f>
        <v>OK</v>
      </c>
      <c r="F15" s="24" t="s">
        <v>405</v>
      </c>
    </row>
    <row r="16" spans="1:6" x14ac:dyDescent="0.3">
      <c r="A16" s="1"/>
      <c r="B16" s="14" t="s">
        <v>406</v>
      </c>
      <c r="C16" s="16" t="s">
        <v>407</v>
      </c>
      <c r="D16" s="16" t="s">
        <v>401</v>
      </c>
      <c r="E16" s="39" t="str">
        <f>'Dev Factors'!H47</f>
        <v>OK</v>
      </c>
      <c r="F16" s="24" t="s">
        <v>408</v>
      </c>
    </row>
    <row r="17" spans="1:6" x14ac:dyDescent="0.3">
      <c r="A17" s="1"/>
      <c r="B17" s="14" t="s">
        <v>409</v>
      </c>
      <c r="C17" s="16" t="s">
        <v>410</v>
      </c>
      <c r="D17" s="16" t="s">
        <v>411</v>
      </c>
      <c r="E17" s="39" t="str">
        <f>'On-Level &amp; Cred'!C25</f>
        <v>OK</v>
      </c>
      <c r="F17" s="24" t="s">
        <v>412</v>
      </c>
    </row>
    <row r="18" spans="1:6" x14ac:dyDescent="0.3">
      <c r="A18" s="1"/>
      <c r="B18" s="14" t="s">
        <v>413</v>
      </c>
      <c r="C18" s="16" t="s">
        <v>414</v>
      </c>
      <c r="D18" s="16" t="s">
        <v>411</v>
      </c>
      <c r="E18" s="39" t="str">
        <f>'On-Level &amp; Cred'!C47</f>
        <v>OK</v>
      </c>
      <c r="F18" s="24" t="s">
        <v>415</v>
      </c>
    </row>
    <row r="19" spans="1:6" x14ac:dyDescent="0.3">
      <c r="A19" s="1"/>
      <c r="B19" s="14" t="s">
        <v>416</v>
      </c>
      <c r="C19" s="16" t="s">
        <v>417</v>
      </c>
      <c r="D19" s="16" t="s">
        <v>411</v>
      </c>
      <c r="E19" s="39" t="str">
        <f>'On-Level &amp; Cred'!C69</f>
        <v>OK</v>
      </c>
      <c r="F19" s="24" t="s">
        <v>418</v>
      </c>
    </row>
    <row r="20" spans="1:6" x14ac:dyDescent="0.3">
      <c r="A20" s="1"/>
      <c r="B20" s="14" t="s">
        <v>419</v>
      </c>
      <c r="C20" s="16" t="s">
        <v>420</v>
      </c>
      <c r="D20" s="16" t="s">
        <v>421</v>
      </c>
      <c r="E20" s="39" t="str">
        <f>'On-Level &amp; Cred'!C24</f>
        <v>OK</v>
      </c>
      <c r="F20" s="24" t="s">
        <v>422</v>
      </c>
    </row>
    <row r="21" spans="1:6" x14ac:dyDescent="0.3">
      <c r="A21" s="1"/>
      <c r="B21" s="14" t="s">
        <v>423</v>
      </c>
      <c r="C21" s="16" t="s">
        <v>424</v>
      </c>
      <c r="D21" s="16" t="s">
        <v>421</v>
      </c>
      <c r="E21" s="39" t="str">
        <f>'On-Level &amp; Cred'!C46</f>
        <v>OK</v>
      </c>
      <c r="F21" s="24" t="s">
        <v>425</v>
      </c>
    </row>
    <row r="22" spans="1:6" x14ac:dyDescent="0.3">
      <c r="A22" s="1"/>
      <c r="B22" s="14" t="s">
        <v>426</v>
      </c>
      <c r="C22" s="16" t="s">
        <v>427</v>
      </c>
      <c r="D22" s="16" t="s">
        <v>421</v>
      </c>
      <c r="E22" s="39" t="str">
        <f>'On-Level &amp; Cred'!C68</f>
        <v>OK</v>
      </c>
      <c r="F22" s="24" t="s">
        <v>428</v>
      </c>
    </row>
    <row r="23" spans="1:6" x14ac:dyDescent="0.3">
      <c r="A23" s="1"/>
      <c r="B23" s="14" t="s">
        <v>429</v>
      </c>
      <c r="C23" s="16" t="s">
        <v>430</v>
      </c>
      <c r="D23" s="16" t="s">
        <v>431</v>
      </c>
      <c r="E23" s="39" t="str">
        <f>'S1 Chain Ladder'!F14</f>
        <v>OK</v>
      </c>
      <c r="F23" s="24" t="s">
        <v>432</v>
      </c>
    </row>
    <row r="24" spans="1:6" x14ac:dyDescent="0.3">
      <c r="A24" s="1"/>
      <c r="B24" s="14" t="s">
        <v>433</v>
      </c>
      <c r="C24" s="16" t="s">
        <v>434</v>
      </c>
      <c r="D24" s="16" t="s">
        <v>431</v>
      </c>
      <c r="E24" s="39" t="str">
        <f>'S1 Chain Ladder'!F27</f>
        <v>OK</v>
      </c>
      <c r="F24" s="24" t="s">
        <v>435</v>
      </c>
    </row>
    <row r="25" spans="1:6" x14ac:dyDescent="0.3">
      <c r="A25" s="1"/>
      <c r="B25" s="14" t="s">
        <v>436</v>
      </c>
      <c r="C25" s="16" t="s">
        <v>437</v>
      </c>
      <c r="D25" s="16" t="s">
        <v>431</v>
      </c>
      <c r="E25" s="39" t="str">
        <f>'S1 Chain Ladder'!F40</f>
        <v>OK</v>
      </c>
      <c r="F25" s="24" t="s">
        <v>438</v>
      </c>
    </row>
    <row r="26" spans="1:6" x14ac:dyDescent="0.3">
      <c r="A26" s="1"/>
      <c r="B26" s="14" t="s">
        <v>439</v>
      </c>
      <c r="C26" s="16" t="s">
        <v>440</v>
      </c>
      <c r="D26" s="16" t="s">
        <v>441</v>
      </c>
      <c r="E26" s="39" t="str">
        <f>'S2 Expected Claims'!F15</f>
        <v>SEE NOTE</v>
      </c>
      <c r="F26" s="24" t="s">
        <v>442</v>
      </c>
    </row>
    <row r="27" spans="1:6" x14ac:dyDescent="0.3">
      <c r="A27" s="1"/>
      <c r="B27" s="14" t="s">
        <v>443</v>
      </c>
      <c r="C27" s="16" t="s">
        <v>444</v>
      </c>
      <c r="D27" s="16" t="s">
        <v>441</v>
      </c>
      <c r="E27" s="39" t="str">
        <f>'S2 Expected Claims'!F28</f>
        <v>OK</v>
      </c>
      <c r="F27" s="24" t="s">
        <v>445</v>
      </c>
    </row>
    <row r="28" spans="1:6" x14ac:dyDescent="0.3">
      <c r="A28" s="1"/>
      <c r="B28" s="14" t="s">
        <v>446</v>
      </c>
      <c r="C28" s="16" t="s">
        <v>447</v>
      </c>
      <c r="D28" s="16" t="s">
        <v>441</v>
      </c>
      <c r="E28" s="39" t="str">
        <f>'S2 Expected Claims'!F41</f>
        <v>OK</v>
      </c>
      <c r="F28" s="24" t="s">
        <v>448</v>
      </c>
    </row>
    <row r="29" spans="1:6" x14ac:dyDescent="0.3">
      <c r="A29" s="1"/>
      <c r="B29" s="14" t="s">
        <v>449</v>
      </c>
      <c r="C29" s="16" t="s">
        <v>450</v>
      </c>
      <c r="D29" s="16" t="s">
        <v>451</v>
      </c>
      <c r="E29" s="39" t="str">
        <f>'S3 BF'!G15</f>
        <v>OK</v>
      </c>
      <c r="F29" s="24" t="s">
        <v>452</v>
      </c>
    </row>
    <row r="30" spans="1:6" x14ac:dyDescent="0.3">
      <c r="A30" s="1"/>
      <c r="B30" s="14" t="s">
        <v>453</v>
      </c>
      <c r="C30" s="16" t="s">
        <v>454</v>
      </c>
      <c r="D30" s="16" t="s">
        <v>451</v>
      </c>
      <c r="E30" s="39" t="str">
        <f>'S3 BF'!G28</f>
        <v>OK</v>
      </c>
      <c r="F30" s="24" t="s">
        <v>455</v>
      </c>
    </row>
    <row r="31" spans="1:6" x14ac:dyDescent="0.3">
      <c r="A31" s="1"/>
      <c r="B31" s="14" t="s">
        <v>456</v>
      </c>
      <c r="C31" s="16" t="s">
        <v>457</v>
      </c>
      <c r="D31" s="16" t="s">
        <v>451</v>
      </c>
      <c r="E31" s="39" t="str">
        <f>'S3 BF'!G41</f>
        <v>OK</v>
      </c>
      <c r="F31" s="24" t="s">
        <v>458</v>
      </c>
    </row>
    <row r="32" spans="1:6" x14ac:dyDescent="0.3">
      <c r="A32" s="1"/>
      <c r="B32" s="14" t="s">
        <v>459</v>
      </c>
      <c r="C32" s="16" t="s">
        <v>460</v>
      </c>
      <c r="D32" s="16" t="s">
        <v>24</v>
      </c>
      <c r="E32" s="39" t="str">
        <f>Extension!H51</f>
        <v>OK</v>
      </c>
      <c r="F32" s="24" t="s">
        <v>461</v>
      </c>
    </row>
    <row r="33" spans="1:6" x14ac:dyDescent="0.3">
      <c r="A33" s="1"/>
      <c r="B33" s="14" t="s">
        <v>462</v>
      </c>
      <c r="C33" s="16" t="s">
        <v>463</v>
      </c>
      <c r="D33" s="16" t="s">
        <v>24</v>
      </c>
      <c r="E33" s="39" t="str">
        <f>Extension!H100</f>
        <v>OK</v>
      </c>
      <c r="F33" s="24" t="s">
        <v>464</v>
      </c>
    </row>
    <row r="34" spans="1:6" x14ac:dyDescent="0.3">
      <c r="A34" s="1"/>
      <c r="B34" s="14" t="s">
        <v>465</v>
      </c>
      <c r="C34" s="16" t="s">
        <v>466</v>
      </c>
      <c r="D34" s="16" t="s">
        <v>24</v>
      </c>
      <c r="E34" s="39" t="str">
        <f>Extension!H149</f>
        <v>OK</v>
      </c>
      <c r="F34" s="24" t="s">
        <v>467</v>
      </c>
    </row>
    <row r="35" spans="1:6" x14ac:dyDescent="0.3">
      <c r="A35" s="1"/>
      <c r="B35" s="14" t="s">
        <v>468</v>
      </c>
      <c r="C35" s="16" t="s">
        <v>469</v>
      </c>
      <c r="D35" s="16" t="s">
        <v>24</v>
      </c>
      <c r="E35" s="39" t="str">
        <f>IF(SUMPRODUCT(--(ABS(Extension!E44:E49-'S1 Chain Ladder'!F7:F12*INDEX(Ext_tail,1))&gt;0.001))+SUMPRODUCT(--(ABS(Extension!E93:E98-'S1 Chain Ladder'!F20:F25*INDEX(Ext_tail,2))&gt;0.001))+SUMPRODUCT(--(ABS(Extension!E142:E147-'S1 Chain Ladder'!F33:F38*INDEX(Ext_tail,3))&gt;0.001))=0,"OK","REVIEW")</f>
        <v>OK</v>
      </c>
      <c r="F35" s="24" t="s">
        <v>470</v>
      </c>
    </row>
    <row r="36" spans="1:6" x14ac:dyDescent="0.3">
      <c r="A36" s="1"/>
      <c r="B36" s="14" t="s">
        <v>471</v>
      </c>
      <c r="C36" s="16" t="s">
        <v>472</v>
      </c>
      <c r="D36" s="16" t="s">
        <v>24</v>
      </c>
      <c r="E36" s="39" t="str">
        <f>IF(SUMPRODUCT(--(ABS(Extension!C12+SUM(Extension!D13:I13)-1)&gt;0.000001))+SUMPRODUCT(--(ABS(Extension!C61+SUM(Extension!D62:I62)-1)&gt;0.000001))+SUMPRODUCT(--(ABS(Extension!C110+SUM(Extension!D111:I111)-1)&gt;0.000001))=0,"OK","REVIEW")</f>
        <v>OK</v>
      </c>
      <c r="F36" s="24" t="s">
        <v>473</v>
      </c>
    </row>
    <row r="37" spans="1:6" x14ac:dyDescent="0.3">
      <c r="A37" s="1"/>
      <c r="B37" s="14" t="s">
        <v>474</v>
      </c>
      <c r="C37" s="16" t="s">
        <v>475</v>
      </c>
      <c r="D37" s="16" t="s">
        <v>24</v>
      </c>
      <c r="E37" s="39" t="str">
        <f>IF(SUMPRODUCT(--(Extension!M18:M23&lt;=0))+SUMPRODUCT(--(Extension!M18:M23&gt;5+Ext_taillag))+SUMPRODUCT(--(Extension!N18:N23&lt;1))+SUMPRODUCT(--(Extension!M67:M72&lt;=0))+SUMPRODUCT(--(Extension!M67:M72&gt;5+Ext_taillag))+SUMPRODUCT(--(Extension!N67:N72&lt;1))+SUMPRODUCT(--(Extension!M116:M121&lt;=0))+SUMPRODUCT(--(Extension!M116:M121&gt;5+Ext_taillag))+SUMPRODUCT(--(Extension!N116:N121&lt;1))=0,"OK","REVIEW")</f>
        <v>OK</v>
      </c>
      <c r="F37" s="24" t="s">
        <v>476</v>
      </c>
    </row>
    <row r="38" spans="1:6" x14ac:dyDescent="0.3">
      <c r="A38" s="1"/>
      <c r="B38" s="14" t="s">
        <v>477</v>
      </c>
      <c r="C38" s="16" t="s">
        <v>478</v>
      </c>
      <c r="D38" s="16" t="s">
        <v>479</v>
      </c>
      <c r="E38" s="39" t="str">
        <f>IF(AND(ABS('S1 Chain Ladder'!D46-'S2 Expected Claims'!G47)&lt;0.01,ABS('S1 Chain Ladder'!D46-'S3 BF'!C47)&lt;0.01,ABS('S1 Chain Ladder'!D46-Extension!C155)&lt;0.01),"OK","REVIEW")</f>
        <v>OK</v>
      </c>
      <c r="F38" s="24" t="s">
        <v>480</v>
      </c>
    </row>
    <row r="39" spans="1:6" x14ac:dyDescent="0.3">
      <c r="A39" s="1"/>
      <c r="B39" s="14" t="s">
        <v>481</v>
      </c>
      <c r="C39" s="16" t="s">
        <v>482</v>
      </c>
      <c r="D39" s="16" t="s">
        <v>479</v>
      </c>
      <c r="E39" s="39" t="str">
        <f>IF(AND(ABS('S1 Chain Ladder'!G46-('S1 Chain Ladder'!F46-'S1 Chain Ladder'!D46))&lt;0.01,ABS('S3 BF'!H47-('S3 BF'!G47-'S3 BF'!C47))&lt;0.01,ABS(Extension!M155-(Extension!J155-Extension!C155))&lt;0.01),"OK","REVIEW")</f>
        <v>OK</v>
      </c>
      <c r="F39" s="24" t="s">
        <v>480</v>
      </c>
    </row>
    <row r="40" spans="1:6" x14ac:dyDescent="0.3">
      <c r="A40" s="1"/>
      <c r="B40" s="14" t="s">
        <v>483</v>
      </c>
      <c r="C40" s="16" t="s">
        <v>484</v>
      </c>
      <c r="D40" s="16" t="s">
        <v>485</v>
      </c>
      <c r="E40" s="39" t="str">
        <f>Summary!E44</f>
        <v>OK</v>
      </c>
      <c r="F40" s="24" t="s">
        <v>486</v>
      </c>
    </row>
    <row r="41" spans="1:6" x14ac:dyDescent="0.3">
      <c r="A41" s="1"/>
      <c r="B41" s="14" t="s">
        <v>487</v>
      </c>
      <c r="C41" s="16" t="s">
        <v>488</v>
      </c>
      <c r="D41" s="16" t="s">
        <v>489</v>
      </c>
      <c r="E41" s="39" t="str">
        <f>ADC!C17</f>
        <v>OK</v>
      </c>
      <c r="F41" s="24" t="s">
        <v>490</v>
      </c>
    </row>
    <row r="42" spans="1:6" x14ac:dyDescent="0.3">
      <c r="A42" s="1"/>
      <c r="B42" s="14" t="s">
        <v>491</v>
      </c>
      <c r="C42" s="16" t="s">
        <v>492</v>
      </c>
      <c r="D42" s="16" t="s">
        <v>489</v>
      </c>
      <c r="E42" s="39" t="str">
        <f>ADC!C97</f>
        <v>OK</v>
      </c>
      <c r="F42" s="24" t="s">
        <v>493</v>
      </c>
    </row>
    <row r="43" spans="1:6" x14ac:dyDescent="0.3">
      <c r="A43" s="1"/>
      <c r="B43" s="1"/>
      <c r="C43" s="1"/>
      <c r="D43" s="1"/>
      <c r="E43" s="1"/>
      <c r="F43" s="1"/>
    </row>
    <row r="44" spans="1:6" x14ac:dyDescent="0.3">
      <c r="A44" s="1"/>
      <c r="B44" s="5" t="s">
        <v>494</v>
      </c>
      <c r="C44" s="1"/>
      <c r="D44" s="1"/>
      <c r="E44" s="1"/>
      <c r="F44" s="1"/>
    </row>
    <row r="45" spans="1:6" x14ac:dyDescent="0.3">
      <c r="A45" s="1"/>
      <c r="B45" s="4" t="s">
        <v>495</v>
      </c>
      <c r="C45" s="1"/>
      <c r="D45" s="1"/>
      <c r="E45" s="1"/>
      <c r="F45" s="1"/>
    </row>
  </sheetData>
  <pageMargins left="0.75" right="0.75" top="1" bottom="1" header="0.511811023622047" footer="0.511811023622047"/>
  <pageSetup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08080"/>
    <pageSetUpPr fitToPage="1"/>
  </sheetPr>
  <dimension ref="A1:C166"/>
  <sheetViews>
    <sheetView showGridLines="0" zoomScaleNormal="100" workbookViewId="0">
      <pane xSplit="2" ySplit="1" topLeftCell="C125" activePane="bottomRight" state="frozen"/>
      <selection pane="topRight" activeCell="C1" sqref="C1"/>
      <selection pane="bottomLeft" activeCell="A2" sqref="A2"/>
      <selection pane="bottomRight"/>
    </sheetView>
  </sheetViews>
  <sheetFormatPr defaultColWidth="8.6640625" defaultRowHeight="14.4" x14ac:dyDescent="0.3"/>
  <cols>
    <col min="1" max="1" width="2" customWidth="1"/>
    <col min="2" max="2" width="7" customWidth="1"/>
    <col min="3" max="3" width="118" customWidth="1"/>
  </cols>
  <sheetData>
    <row r="1" spans="1:3" ht="17.399999999999999" x14ac:dyDescent="0.3">
      <c r="A1" s="1"/>
      <c r="B1" s="2" t="s">
        <v>32</v>
      </c>
      <c r="C1" s="1"/>
    </row>
    <row r="2" spans="1:3" x14ac:dyDescent="0.3">
      <c r="A2" s="1"/>
      <c r="B2" s="1"/>
      <c r="C2" s="1"/>
    </row>
    <row r="3" spans="1:3" ht="64.5" customHeight="1" x14ac:dyDescent="0.3">
      <c r="A3" s="1"/>
      <c r="B3" s="1"/>
      <c r="C3" s="67" t="s">
        <v>496</v>
      </c>
    </row>
    <row r="4" spans="1:3" x14ac:dyDescent="0.3">
      <c r="A4" s="1"/>
      <c r="B4" s="1"/>
      <c r="C4" s="1"/>
    </row>
    <row r="5" spans="1:3" x14ac:dyDescent="0.3">
      <c r="A5" s="1"/>
      <c r="B5" s="1"/>
      <c r="C5" s="1"/>
    </row>
    <row r="6" spans="1:3" x14ac:dyDescent="0.3">
      <c r="A6" s="1"/>
      <c r="B6" s="3" t="s">
        <v>497</v>
      </c>
      <c r="C6" s="1"/>
    </row>
    <row r="7" spans="1:3" ht="39" customHeight="1" x14ac:dyDescent="0.3">
      <c r="A7" s="1"/>
      <c r="B7" s="7" t="s">
        <v>498</v>
      </c>
      <c r="C7" s="68" t="s">
        <v>499</v>
      </c>
    </row>
    <row r="8" spans="1:3" ht="39" customHeight="1" x14ac:dyDescent="0.3">
      <c r="A8" s="1"/>
      <c r="B8" s="7" t="s">
        <v>500</v>
      </c>
      <c r="C8" s="68" t="s">
        <v>501</v>
      </c>
    </row>
    <row r="9" spans="1:3" ht="39" customHeight="1" x14ac:dyDescent="0.3">
      <c r="A9" s="1"/>
      <c r="B9" s="7" t="s">
        <v>502</v>
      </c>
      <c r="C9" s="68" t="s">
        <v>503</v>
      </c>
    </row>
    <row r="10" spans="1:3" ht="25.5" customHeight="1" x14ac:dyDescent="0.3">
      <c r="A10" s="1"/>
      <c r="B10" s="7" t="s">
        <v>504</v>
      </c>
      <c r="C10" s="68" t="s">
        <v>505</v>
      </c>
    </row>
    <row r="11" spans="1:3" ht="39" customHeight="1" x14ac:dyDescent="0.3">
      <c r="A11" s="1"/>
      <c r="B11" s="7" t="s">
        <v>506</v>
      </c>
      <c r="C11" s="68" t="s">
        <v>507</v>
      </c>
    </row>
    <row r="12" spans="1:3" x14ac:dyDescent="0.3">
      <c r="A12" s="1"/>
      <c r="B12" s="1"/>
      <c r="C12" s="1"/>
    </row>
    <row r="13" spans="1:3" x14ac:dyDescent="0.3">
      <c r="A13" s="1"/>
      <c r="B13" s="1"/>
      <c r="C13" s="1"/>
    </row>
    <row r="14" spans="1:3" x14ac:dyDescent="0.3">
      <c r="A14" s="1"/>
      <c r="B14" s="3" t="s">
        <v>508</v>
      </c>
      <c r="C14" s="1"/>
    </row>
    <row r="15" spans="1:3" ht="78" customHeight="1" x14ac:dyDescent="0.3">
      <c r="A15" s="1"/>
      <c r="B15" s="7" t="s">
        <v>509</v>
      </c>
      <c r="C15" s="68" t="s">
        <v>510</v>
      </c>
    </row>
    <row r="16" spans="1:3" ht="39" customHeight="1" x14ac:dyDescent="0.3">
      <c r="A16" s="1"/>
      <c r="B16" s="7" t="s">
        <v>511</v>
      </c>
      <c r="C16" s="68" t="s">
        <v>512</v>
      </c>
    </row>
    <row r="17" spans="1:3" ht="39" customHeight="1" x14ac:dyDescent="0.3">
      <c r="A17" s="1"/>
      <c r="B17" s="7" t="s">
        <v>513</v>
      </c>
      <c r="C17" s="68" t="s">
        <v>514</v>
      </c>
    </row>
    <row r="18" spans="1:3" ht="39" customHeight="1" x14ac:dyDescent="0.3">
      <c r="A18" s="1"/>
      <c r="B18" s="7" t="s">
        <v>515</v>
      </c>
      <c r="C18" s="68" t="s">
        <v>516</v>
      </c>
    </row>
    <row r="19" spans="1:3" x14ac:dyDescent="0.3">
      <c r="A19" s="1"/>
      <c r="B19" s="1"/>
      <c r="C19" s="1"/>
    </row>
    <row r="20" spans="1:3" x14ac:dyDescent="0.3">
      <c r="A20" s="1"/>
      <c r="B20" s="1"/>
      <c r="C20" s="1"/>
    </row>
    <row r="21" spans="1:3" x14ac:dyDescent="0.3">
      <c r="A21" s="1"/>
      <c r="B21" s="3" t="s">
        <v>517</v>
      </c>
      <c r="C21" s="1"/>
    </row>
    <row r="22" spans="1:3" ht="51.75" customHeight="1" x14ac:dyDescent="0.3">
      <c r="A22" s="1"/>
      <c r="B22" s="7" t="s">
        <v>518</v>
      </c>
      <c r="C22" s="68" t="s">
        <v>519</v>
      </c>
    </row>
    <row r="23" spans="1:3" ht="13.5" customHeight="1" x14ac:dyDescent="0.3">
      <c r="A23" s="1"/>
      <c r="B23" s="7" t="s">
        <v>520</v>
      </c>
      <c r="C23" s="68" t="s">
        <v>521</v>
      </c>
    </row>
    <row r="24" spans="1:3" ht="25.5" customHeight="1" x14ac:dyDescent="0.3">
      <c r="A24" s="1"/>
      <c r="B24" s="7" t="s">
        <v>522</v>
      </c>
      <c r="C24" s="68" t="s">
        <v>523</v>
      </c>
    </row>
    <row r="25" spans="1:3" ht="13.5" customHeight="1" x14ac:dyDescent="0.3">
      <c r="A25" s="1"/>
      <c r="B25" s="7" t="s">
        <v>524</v>
      </c>
      <c r="C25" s="68" t="s">
        <v>525</v>
      </c>
    </row>
    <row r="26" spans="1:3" ht="39" customHeight="1" x14ac:dyDescent="0.3">
      <c r="A26" s="1"/>
      <c r="B26" s="7" t="s">
        <v>526</v>
      </c>
      <c r="C26" s="68" t="s">
        <v>527</v>
      </c>
    </row>
    <row r="27" spans="1:3" ht="25.5" customHeight="1" x14ac:dyDescent="0.3">
      <c r="A27" s="1"/>
      <c r="B27" s="7" t="s">
        <v>528</v>
      </c>
      <c r="C27" s="68" t="s">
        <v>529</v>
      </c>
    </row>
    <row r="28" spans="1:3" x14ac:dyDescent="0.3">
      <c r="A28" s="1"/>
      <c r="B28" s="1"/>
      <c r="C28" s="1"/>
    </row>
    <row r="29" spans="1:3" x14ac:dyDescent="0.3">
      <c r="A29" s="1"/>
      <c r="B29" s="1"/>
      <c r="C29" s="1"/>
    </row>
    <row r="30" spans="1:3" x14ac:dyDescent="0.3">
      <c r="A30" s="1"/>
      <c r="B30" s="3" t="s">
        <v>530</v>
      </c>
      <c r="C30" s="1"/>
    </row>
    <row r="31" spans="1:3" ht="25.5" customHeight="1" x14ac:dyDescent="0.3">
      <c r="A31" s="1"/>
      <c r="B31" s="7" t="s">
        <v>531</v>
      </c>
      <c r="C31" s="68" t="s">
        <v>532</v>
      </c>
    </row>
    <row r="32" spans="1:3" ht="39" customHeight="1" x14ac:dyDescent="0.3">
      <c r="A32" s="1"/>
      <c r="B32" s="7" t="s">
        <v>533</v>
      </c>
      <c r="C32" s="68" t="s">
        <v>534</v>
      </c>
    </row>
    <row r="33" spans="1:3" ht="25.5" customHeight="1" x14ac:dyDescent="0.3">
      <c r="A33" s="1"/>
      <c r="B33" s="7" t="s">
        <v>535</v>
      </c>
      <c r="C33" s="68" t="s">
        <v>536</v>
      </c>
    </row>
    <row r="34" spans="1:3" ht="25.5" customHeight="1" x14ac:dyDescent="0.3">
      <c r="A34" s="1"/>
      <c r="B34" s="7" t="s">
        <v>537</v>
      </c>
      <c r="C34" s="68" t="s">
        <v>538</v>
      </c>
    </row>
    <row r="35" spans="1:3" ht="25.5" customHeight="1" x14ac:dyDescent="0.3">
      <c r="A35" s="1"/>
      <c r="B35" s="7" t="s">
        <v>539</v>
      </c>
      <c r="C35" s="68" t="s">
        <v>540</v>
      </c>
    </row>
    <row r="36" spans="1:3" ht="25.5" customHeight="1" x14ac:dyDescent="0.3">
      <c r="A36" s="1"/>
      <c r="B36" s="7" t="s">
        <v>541</v>
      </c>
      <c r="C36" s="68" t="s">
        <v>542</v>
      </c>
    </row>
    <row r="37" spans="1:3" ht="13.5" customHeight="1" x14ac:dyDescent="0.3">
      <c r="A37" s="1"/>
      <c r="B37" s="7" t="s">
        <v>543</v>
      </c>
      <c r="C37" s="68" t="s">
        <v>544</v>
      </c>
    </row>
    <row r="38" spans="1:3" ht="25.5" customHeight="1" x14ac:dyDescent="0.3">
      <c r="A38" s="1"/>
      <c r="B38" s="7" t="s">
        <v>545</v>
      </c>
      <c r="C38" s="68" t="s">
        <v>546</v>
      </c>
    </row>
    <row r="39" spans="1:3" ht="13.5" customHeight="1" x14ac:dyDescent="0.3">
      <c r="A39" s="1"/>
      <c r="B39" s="7" t="s">
        <v>547</v>
      </c>
      <c r="C39" s="68" t="s">
        <v>548</v>
      </c>
    </row>
    <row r="40" spans="1:3" ht="25.5" customHeight="1" x14ac:dyDescent="0.3">
      <c r="A40" s="1"/>
      <c r="B40" s="7" t="s">
        <v>549</v>
      </c>
      <c r="C40" s="68" t="s">
        <v>550</v>
      </c>
    </row>
    <row r="41" spans="1:3" ht="25.5" customHeight="1" x14ac:dyDescent="0.3">
      <c r="A41" s="1"/>
      <c r="B41" s="7" t="s">
        <v>551</v>
      </c>
      <c r="C41" s="68" t="s">
        <v>552</v>
      </c>
    </row>
    <row r="42" spans="1:3" ht="25.5" customHeight="1" x14ac:dyDescent="0.3">
      <c r="A42" s="1"/>
      <c r="B42" s="7" t="s">
        <v>553</v>
      </c>
      <c r="C42" s="68" t="s">
        <v>554</v>
      </c>
    </row>
    <row r="43" spans="1:3" ht="25.5" customHeight="1" x14ac:dyDescent="0.3">
      <c r="A43" s="1"/>
      <c r="B43" s="7" t="s">
        <v>555</v>
      </c>
      <c r="C43" s="68" t="s">
        <v>556</v>
      </c>
    </row>
    <row r="44" spans="1:3" x14ac:dyDescent="0.3">
      <c r="A44" s="1"/>
      <c r="B44" s="1"/>
      <c r="C44" s="1"/>
    </row>
    <row r="45" spans="1:3" x14ac:dyDescent="0.3">
      <c r="A45" s="1"/>
      <c r="B45" s="1"/>
      <c r="C45" s="1"/>
    </row>
    <row r="46" spans="1:3" x14ac:dyDescent="0.3">
      <c r="A46" s="1"/>
      <c r="B46" s="3" t="s">
        <v>557</v>
      </c>
      <c r="C46" s="1"/>
    </row>
    <row r="47" spans="1:3" ht="64.5" customHeight="1" x14ac:dyDescent="0.3">
      <c r="A47" s="1"/>
      <c r="B47" s="7" t="s">
        <v>558</v>
      </c>
      <c r="C47" s="68" t="s">
        <v>559</v>
      </c>
    </row>
    <row r="48" spans="1:3" x14ac:dyDescent="0.3">
      <c r="A48" s="1"/>
      <c r="B48" s="7" t="s">
        <v>560</v>
      </c>
      <c r="C48" s="5" t="s">
        <v>561</v>
      </c>
    </row>
    <row r="49" spans="1:3" ht="13.5" customHeight="1" x14ac:dyDescent="0.3">
      <c r="A49" s="1"/>
      <c r="B49" s="1"/>
      <c r="C49" s="68" t="s">
        <v>652</v>
      </c>
    </row>
    <row r="50" spans="1:3" ht="13.5" customHeight="1" x14ac:dyDescent="0.3">
      <c r="A50" s="1"/>
      <c r="B50" s="1"/>
      <c r="C50" s="68" t="s">
        <v>653</v>
      </c>
    </row>
    <row r="51" spans="1:3" ht="13.5" customHeight="1" x14ac:dyDescent="0.3">
      <c r="A51" s="1"/>
      <c r="B51" s="1"/>
      <c r="C51" s="68" t="s">
        <v>654</v>
      </c>
    </row>
    <row r="52" spans="1:3" ht="13.5" customHeight="1" x14ac:dyDescent="0.3">
      <c r="A52" s="1"/>
      <c r="B52" s="1"/>
      <c r="C52" s="68" t="s">
        <v>655</v>
      </c>
    </row>
    <row r="53" spans="1:3" x14ac:dyDescent="0.3">
      <c r="A53" s="1"/>
      <c r="B53" s="7" t="s">
        <v>562</v>
      </c>
      <c r="C53" s="5" t="s">
        <v>384</v>
      </c>
    </row>
    <row r="54" spans="1:3" ht="13.5" customHeight="1" x14ac:dyDescent="0.3">
      <c r="A54" s="1"/>
      <c r="B54" s="1"/>
      <c r="C54" s="68" t="s">
        <v>656</v>
      </c>
    </row>
    <row r="55" spans="1:3" x14ac:dyDescent="0.3">
      <c r="A55" s="1"/>
      <c r="B55" s="7" t="s">
        <v>563</v>
      </c>
      <c r="C55" s="5" t="s">
        <v>401</v>
      </c>
    </row>
    <row r="56" spans="1:3" ht="13.5" customHeight="1" x14ac:dyDescent="0.3">
      <c r="A56" s="1"/>
      <c r="B56" s="1"/>
      <c r="C56" s="68" t="s">
        <v>657</v>
      </c>
    </row>
    <row r="57" spans="1:3" ht="13.5" customHeight="1" x14ac:dyDescent="0.3">
      <c r="A57" s="1"/>
      <c r="B57" s="1"/>
      <c r="C57" s="68" t="s">
        <v>658</v>
      </c>
    </row>
    <row r="58" spans="1:3" ht="13.5" customHeight="1" x14ac:dyDescent="0.3">
      <c r="A58" s="1"/>
      <c r="B58" s="1"/>
      <c r="C58" s="68" t="s">
        <v>659</v>
      </c>
    </row>
    <row r="59" spans="1:3" x14ac:dyDescent="0.3">
      <c r="A59" s="1"/>
      <c r="B59" s="7" t="s">
        <v>564</v>
      </c>
      <c r="C59" s="5" t="s">
        <v>308</v>
      </c>
    </row>
    <row r="60" spans="1:3" ht="13.5" customHeight="1" x14ac:dyDescent="0.3">
      <c r="A60" s="1"/>
      <c r="B60" s="1"/>
      <c r="C60" s="68" t="s">
        <v>660</v>
      </c>
    </row>
    <row r="61" spans="1:3" ht="13.5" customHeight="1" x14ac:dyDescent="0.3">
      <c r="A61" s="1"/>
      <c r="B61" s="1"/>
      <c r="C61" s="68" t="s">
        <v>661</v>
      </c>
    </row>
    <row r="62" spans="1:3" x14ac:dyDescent="0.3">
      <c r="A62" s="1"/>
      <c r="B62" s="7" t="s">
        <v>565</v>
      </c>
      <c r="C62" s="5" t="s">
        <v>566</v>
      </c>
    </row>
    <row r="63" spans="1:3" ht="13.5" customHeight="1" x14ac:dyDescent="0.3">
      <c r="A63" s="1"/>
      <c r="B63" s="1"/>
      <c r="C63" s="68" t="s">
        <v>662</v>
      </c>
    </row>
    <row r="64" spans="1:3" ht="13.5" customHeight="1" x14ac:dyDescent="0.3">
      <c r="A64" s="1"/>
      <c r="B64" s="1"/>
      <c r="C64" s="68" t="s">
        <v>663</v>
      </c>
    </row>
    <row r="65" spans="1:3" ht="13.5" customHeight="1" x14ac:dyDescent="0.3">
      <c r="A65" s="1"/>
      <c r="B65" s="1"/>
      <c r="C65" s="68" t="s">
        <v>664</v>
      </c>
    </row>
    <row r="66" spans="1:3" ht="13.5" customHeight="1" x14ac:dyDescent="0.3">
      <c r="A66" s="1"/>
      <c r="B66" s="1"/>
      <c r="C66" s="68" t="s">
        <v>665</v>
      </c>
    </row>
    <row r="67" spans="1:3" ht="13.5" customHeight="1" x14ac:dyDescent="0.3">
      <c r="A67" s="1"/>
      <c r="B67" s="1"/>
      <c r="C67" s="68" t="s">
        <v>666</v>
      </c>
    </row>
    <row r="68" spans="1:3" ht="13.5" customHeight="1" x14ac:dyDescent="0.3">
      <c r="A68" s="1"/>
      <c r="B68" s="1"/>
      <c r="C68" s="68" t="s">
        <v>667</v>
      </c>
    </row>
    <row r="69" spans="1:3" ht="13.5" customHeight="1" x14ac:dyDescent="0.3">
      <c r="A69" s="1"/>
      <c r="B69" s="1"/>
      <c r="C69" s="68" t="s">
        <v>668</v>
      </c>
    </row>
    <row r="70" spans="1:3" ht="13.5" customHeight="1" x14ac:dyDescent="0.3">
      <c r="A70" s="1"/>
      <c r="B70" s="1"/>
      <c r="C70" s="68" t="s">
        <v>669</v>
      </c>
    </row>
    <row r="71" spans="1:3" ht="13.5" customHeight="1" x14ac:dyDescent="0.3">
      <c r="A71" s="1"/>
      <c r="B71" s="1"/>
      <c r="C71" s="68" t="s">
        <v>670</v>
      </c>
    </row>
    <row r="72" spans="1:3" ht="13.5" customHeight="1" x14ac:dyDescent="0.3">
      <c r="A72" s="1"/>
      <c r="B72" s="1"/>
      <c r="C72" s="68" t="s">
        <v>671</v>
      </c>
    </row>
    <row r="73" spans="1:3" ht="13.5" customHeight="1" x14ac:dyDescent="0.3">
      <c r="A73" s="1"/>
      <c r="B73" s="1"/>
      <c r="C73" s="68" t="s">
        <v>672</v>
      </c>
    </row>
    <row r="74" spans="1:3" ht="13.5" customHeight="1" x14ac:dyDescent="0.3">
      <c r="A74" s="1"/>
      <c r="B74" s="1"/>
      <c r="C74" s="68" t="s">
        <v>673</v>
      </c>
    </row>
    <row r="75" spans="1:3" ht="13.5" customHeight="1" x14ac:dyDescent="0.3">
      <c r="A75" s="1"/>
      <c r="B75" s="1"/>
      <c r="C75" s="68" t="s">
        <v>674</v>
      </c>
    </row>
    <row r="76" spans="1:3" x14ac:dyDescent="0.3">
      <c r="A76" s="1"/>
      <c r="B76" s="7" t="s">
        <v>567</v>
      </c>
      <c r="C76" s="5" t="s">
        <v>309</v>
      </c>
    </row>
    <row r="77" spans="1:3" ht="13.5" customHeight="1" x14ac:dyDescent="0.3">
      <c r="A77" s="1"/>
      <c r="B77" s="1"/>
      <c r="C77" s="68" t="s">
        <v>675</v>
      </c>
    </row>
    <row r="78" spans="1:3" x14ac:dyDescent="0.3">
      <c r="A78" s="1"/>
      <c r="B78" s="7" t="s">
        <v>568</v>
      </c>
      <c r="C78" s="5" t="s">
        <v>310</v>
      </c>
    </row>
    <row r="79" spans="1:3" ht="13.5" customHeight="1" x14ac:dyDescent="0.3">
      <c r="A79" s="1"/>
      <c r="B79" s="1"/>
      <c r="C79" s="68" t="s">
        <v>676</v>
      </c>
    </row>
    <row r="80" spans="1:3" x14ac:dyDescent="0.3">
      <c r="A80" s="1"/>
      <c r="B80" s="7" t="s">
        <v>569</v>
      </c>
      <c r="C80" s="5" t="s">
        <v>24</v>
      </c>
    </row>
    <row r="81" spans="1:3" ht="13.5" customHeight="1" x14ac:dyDescent="0.3">
      <c r="A81" s="1"/>
      <c r="B81" s="1"/>
      <c r="C81" s="68" t="s">
        <v>677</v>
      </c>
    </row>
    <row r="82" spans="1:3" ht="13.5" customHeight="1" x14ac:dyDescent="0.3">
      <c r="A82" s="1"/>
      <c r="B82" s="1"/>
      <c r="C82" s="68" t="s">
        <v>678</v>
      </c>
    </row>
    <row r="83" spans="1:3" ht="13.5" customHeight="1" x14ac:dyDescent="0.3">
      <c r="A83" s="1"/>
      <c r="B83" s="1"/>
      <c r="C83" s="68" t="s">
        <v>679</v>
      </c>
    </row>
    <row r="84" spans="1:3" ht="13.5" customHeight="1" x14ac:dyDescent="0.3">
      <c r="A84" s="1"/>
      <c r="B84" s="1"/>
      <c r="C84" s="68" t="s">
        <v>680</v>
      </c>
    </row>
    <row r="85" spans="1:3" ht="13.5" customHeight="1" x14ac:dyDescent="0.3">
      <c r="A85" s="1"/>
      <c r="B85" s="1"/>
      <c r="C85" s="68" t="s">
        <v>681</v>
      </c>
    </row>
    <row r="86" spans="1:3" ht="13.5" customHeight="1" x14ac:dyDescent="0.3">
      <c r="A86" s="1"/>
      <c r="B86" s="1"/>
      <c r="C86" s="68" t="s">
        <v>682</v>
      </c>
    </row>
    <row r="87" spans="1:3" ht="13.5" customHeight="1" x14ac:dyDescent="0.3">
      <c r="A87" s="1"/>
      <c r="B87" s="1"/>
      <c r="C87" s="68" t="s">
        <v>683</v>
      </c>
    </row>
    <row r="88" spans="1:3" ht="13.5" customHeight="1" x14ac:dyDescent="0.3">
      <c r="A88" s="1"/>
      <c r="B88" s="1"/>
      <c r="C88" s="68" t="s">
        <v>684</v>
      </c>
    </row>
    <row r="89" spans="1:3" x14ac:dyDescent="0.3">
      <c r="A89" s="1"/>
      <c r="B89" s="7" t="s">
        <v>570</v>
      </c>
      <c r="C89" s="5" t="s">
        <v>26</v>
      </c>
    </row>
    <row r="90" spans="1:3" ht="13.5" customHeight="1" x14ac:dyDescent="0.3">
      <c r="A90" s="1"/>
      <c r="B90" s="1"/>
      <c r="C90" s="68" t="s">
        <v>685</v>
      </c>
    </row>
    <row r="91" spans="1:3" ht="13.5" customHeight="1" x14ac:dyDescent="0.3">
      <c r="A91" s="1"/>
      <c r="B91" s="1"/>
      <c r="C91" s="68" t="s">
        <v>686</v>
      </c>
    </row>
    <row r="92" spans="1:3" ht="13.5" customHeight="1" x14ac:dyDescent="0.3">
      <c r="A92" s="1"/>
      <c r="B92" s="1"/>
      <c r="C92" s="68" t="s">
        <v>687</v>
      </c>
    </row>
    <row r="93" spans="1:3" ht="13.5" customHeight="1" x14ac:dyDescent="0.3">
      <c r="A93" s="1"/>
      <c r="B93" s="1"/>
      <c r="C93" s="68" t="s">
        <v>688</v>
      </c>
    </row>
    <row r="94" spans="1:3" ht="13.5" customHeight="1" x14ac:dyDescent="0.3">
      <c r="A94" s="1"/>
      <c r="B94" s="1"/>
      <c r="C94" s="68" t="s">
        <v>689</v>
      </c>
    </row>
    <row r="95" spans="1:3" ht="13.5" customHeight="1" x14ac:dyDescent="0.3">
      <c r="A95" s="1"/>
      <c r="B95" s="1"/>
      <c r="C95" s="68" t="s">
        <v>690</v>
      </c>
    </row>
    <row r="96" spans="1:3" ht="13.5" customHeight="1" x14ac:dyDescent="0.3">
      <c r="A96" s="1"/>
      <c r="B96" s="1"/>
      <c r="C96" s="68" t="s">
        <v>691</v>
      </c>
    </row>
    <row r="97" spans="1:3" ht="13.5" customHeight="1" x14ac:dyDescent="0.3">
      <c r="A97" s="1"/>
      <c r="B97" s="1"/>
      <c r="C97" s="68" t="s">
        <v>692</v>
      </c>
    </row>
    <row r="98" spans="1:3" ht="13.5" customHeight="1" x14ac:dyDescent="0.3">
      <c r="A98" s="1"/>
      <c r="B98" s="1"/>
      <c r="C98" s="68" t="s">
        <v>693</v>
      </c>
    </row>
    <row r="99" spans="1:3" x14ac:dyDescent="0.3">
      <c r="A99" s="1"/>
      <c r="B99" s="1"/>
      <c r="C99" s="1"/>
    </row>
    <row r="100" spans="1:3" x14ac:dyDescent="0.3">
      <c r="A100" s="1"/>
      <c r="B100" s="1"/>
      <c r="C100" s="1"/>
    </row>
    <row r="101" spans="1:3" x14ac:dyDescent="0.3">
      <c r="A101" s="1"/>
      <c r="B101" s="3" t="s">
        <v>571</v>
      </c>
      <c r="C101" s="1"/>
    </row>
    <row r="102" spans="1:3" ht="51.75" customHeight="1" x14ac:dyDescent="0.3">
      <c r="A102" s="1"/>
      <c r="B102" s="7" t="s">
        <v>572</v>
      </c>
      <c r="C102" s="68" t="s">
        <v>573</v>
      </c>
    </row>
    <row r="103" spans="1:3" ht="64.5" customHeight="1" x14ac:dyDescent="0.3">
      <c r="A103" s="1"/>
      <c r="B103" s="7" t="s">
        <v>574</v>
      </c>
      <c r="C103" s="68" t="s">
        <v>575</v>
      </c>
    </row>
    <row r="104" spans="1:3" ht="90.75" customHeight="1" x14ac:dyDescent="0.3">
      <c r="A104" s="1"/>
      <c r="B104" s="7" t="s">
        <v>576</v>
      </c>
      <c r="C104" s="68" t="s">
        <v>577</v>
      </c>
    </row>
    <row r="105" spans="1:3" ht="64.5" customHeight="1" x14ac:dyDescent="0.3">
      <c r="A105" s="1"/>
      <c r="B105" s="7" t="s">
        <v>578</v>
      </c>
      <c r="C105" s="68" t="s">
        <v>579</v>
      </c>
    </row>
    <row r="106" spans="1:3" ht="15.75" customHeight="1" x14ac:dyDescent="0.3">
      <c r="A106" s="1"/>
      <c r="B106" s="1"/>
      <c r="C106" s="69" t="s">
        <v>694</v>
      </c>
    </row>
    <row r="107" spans="1:3" x14ac:dyDescent="0.3">
      <c r="A107" s="1"/>
      <c r="B107" s="1"/>
      <c r="C107" s="4" t="s">
        <v>580</v>
      </c>
    </row>
    <row r="108" spans="1:3" ht="39" customHeight="1" x14ac:dyDescent="0.3">
      <c r="A108" s="1"/>
      <c r="B108" s="7" t="s">
        <v>581</v>
      </c>
      <c r="C108" s="68" t="s">
        <v>582</v>
      </c>
    </row>
    <row r="109" spans="1:3" ht="51.75" customHeight="1" x14ac:dyDescent="0.3">
      <c r="A109" s="1"/>
      <c r="B109" s="7" t="s">
        <v>583</v>
      </c>
      <c r="C109" s="68" t="s">
        <v>584</v>
      </c>
    </row>
    <row r="110" spans="1:3" ht="64.5" customHeight="1" x14ac:dyDescent="0.3">
      <c r="A110" s="1"/>
      <c r="B110" s="7" t="s">
        <v>585</v>
      </c>
      <c r="C110" s="68" t="s">
        <v>586</v>
      </c>
    </row>
    <row r="111" spans="1:3" ht="15.75" customHeight="1" x14ac:dyDescent="0.3">
      <c r="A111" s="1"/>
      <c r="B111" s="1"/>
      <c r="C111" s="69" t="s">
        <v>695</v>
      </c>
    </row>
    <row r="112" spans="1:3" ht="51.75" customHeight="1" x14ac:dyDescent="0.3">
      <c r="A112" s="1"/>
      <c r="B112" s="7" t="s">
        <v>587</v>
      </c>
      <c r="C112" s="68" t="s">
        <v>588</v>
      </c>
    </row>
    <row r="113" spans="1:3" ht="15.75" customHeight="1" x14ac:dyDescent="0.3">
      <c r="A113" s="1"/>
      <c r="B113" s="1"/>
      <c r="C113" s="69" t="s">
        <v>696</v>
      </c>
    </row>
    <row r="114" spans="1:3" ht="51.75" customHeight="1" x14ac:dyDescent="0.3">
      <c r="A114" s="1"/>
      <c r="B114" s="7" t="s">
        <v>589</v>
      </c>
      <c r="C114" s="68" t="s">
        <v>590</v>
      </c>
    </row>
    <row r="115" spans="1:3" ht="15.75" customHeight="1" x14ac:dyDescent="0.3">
      <c r="A115" s="1"/>
      <c r="B115" s="1"/>
      <c r="C115" s="69" t="s">
        <v>697</v>
      </c>
    </row>
    <row r="116" spans="1:3" ht="15.75" customHeight="1" x14ac:dyDescent="0.3">
      <c r="A116" s="1"/>
      <c r="B116" s="1"/>
      <c r="C116" s="69" t="s">
        <v>698</v>
      </c>
    </row>
    <row r="117" spans="1:3" ht="39" customHeight="1" x14ac:dyDescent="0.3">
      <c r="A117" s="1"/>
      <c r="B117" s="7" t="s">
        <v>591</v>
      </c>
      <c r="C117" s="68" t="s">
        <v>592</v>
      </c>
    </row>
    <row r="118" spans="1:3" ht="15.75" customHeight="1" x14ac:dyDescent="0.3">
      <c r="A118" s="1"/>
      <c r="B118" s="1"/>
      <c r="C118" s="69" t="s">
        <v>699</v>
      </c>
    </row>
    <row r="119" spans="1:3" ht="64.5" customHeight="1" x14ac:dyDescent="0.3">
      <c r="A119" s="1"/>
      <c r="B119" s="7" t="s">
        <v>593</v>
      </c>
      <c r="C119" s="68" t="s">
        <v>594</v>
      </c>
    </row>
    <row r="120" spans="1:3" ht="15.75" customHeight="1" x14ac:dyDescent="0.3">
      <c r="A120" s="1"/>
      <c r="B120" s="1"/>
      <c r="C120" s="69" t="s">
        <v>700</v>
      </c>
    </row>
    <row r="121" spans="1:3" ht="15.75" customHeight="1" x14ac:dyDescent="0.3">
      <c r="A121" s="1"/>
      <c r="B121" s="1"/>
      <c r="C121" s="69" t="s">
        <v>701</v>
      </c>
    </row>
    <row r="122" spans="1:3" ht="51.75" customHeight="1" x14ac:dyDescent="0.3">
      <c r="A122" s="1"/>
      <c r="B122" s="7" t="s">
        <v>595</v>
      </c>
      <c r="C122" s="68" t="s">
        <v>596</v>
      </c>
    </row>
    <row r="123" spans="1:3" ht="90.75" customHeight="1" x14ac:dyDescent="0.3">
      <c r="A123" s="1"/>
      <c r="B123" s="7" t="s">
        <v>597</v>
      </c>
      <c r="C123" s="68" t="s">
        <v>598</v>
      </c>
    </row>
    <row r="124" spans="1:3" ht="15.75" customHeight="1" x14ac:dyDescent="0.3">
      <c r="A124" s="1"/>
      <c r="B124" s="1"/>
      <c r="C124" s="69" t="s">
        <v>702</v>
      </c>
    </row>
    <row r="125" spans="1:3" ht="51.75" customHeight="1" x14ac:dyDescent="0.3">
      <c r="A125" s="1"/>
      <c r="B125" s="7" t="s">
        <v>599</v>
      </c>
      <c r="C125" s="68" t="s">
        <v>600</v>
      </c>
    </row>
    <row r="126" spans="1:3" ht="15.75" customHeight="1" x14ac:dyDescent="0.3">
      <c r="A126" s="1"/>
      <c r="B126" s="1"/>
      <c r="C126" s="69" t="s">
        <v>703</v>
      </c>
    </row>
    <row r="127" spans="1:3" ht="51.75" customHeight="1" x14ac:dyDescent="0.3">
      <c r="A127" s="1"/>
      <c r="B127" s="7" t="s">
        <v>601</v>
      </c>
      <c r="C127" s="68" t="s">
        <v>602</v>
      </c>
    </row>
    <row r="128" spans="1:3" ht="78" customHeight="1" x14ac:dyDescent="0.3">
      <c r="A128" s="1"/>
      <c r="B128" s="7" t="s">
        <v>603</v>
      </c>
      <c r="C128" s="68" t="s">
        <v>604</v>
      </c>
    </row>
    <row r="129" spans="1:3" ht="15.75" customHeight="1" x14ac:dyDescent="0.3">
      <c r="A129" s="1"/>
      <c r="B129" s="1"/>
      <c r="C129" s="69" t="s">
        <v>704</v>
      </c>
    </row>
    <row r="130" spans="1:3" ht="15.75" customHeight="1" x14ac:dyDescent="0.3">
      <c r="A130" s="1"/>
      <c r="B130" s="1"/>
      <c r="C130" s="69" t="s">
        <v>705</v>
      </c>
    </row>
    <row r="131" spans="1:3" ht="51.75" customHeight="1" x14ac:dyDescent="0.3">
      <c r="A131" s="1"/>
      <c r="B131" s="7" t="s">
        <v>605</v>
      </c>
      <c r="C131" s="68" t="s">
        <v>606</v>
      </c>
    </row>
    <row r="132" spans="1:3" ht="51.75" customHeight="1" x14ac:dyDescent="0.3">
      <c r="A132" s="1"/>
      <c r="B132" s="7" t="s">
        <v>607</v>
      </c>
      <c r="C132" s="68" t="s">
        <v>608</v>
      </c>
    </row>
    <row r="133" spans="1:3" ht="15.75" customHeight="1" x14ac:dyDescent="0.3">
      <c r="A133" s="1"/>
      <c r="B133" s="1"/>
      <c r="C133" s="69" t="s">
        <v>706</v>
      </c>
    </row>
    <row r="134" spans="1:3" x14ac:dyDescent="0.3">
      <c r="A134" s="1"/>
      <c r="B134" s="1"/>
      <c r="C134" s="4" t="s">
        <v>609</v>
      </c>
    </row>
    <row r="135" spans="1:3" ht="64.5" customHeight="1" x14ac:dyDescent="0.3">
      <c r="A135" s="1"/>
      <c r="B135" s="7" t="s">
        <v>610</v>
      </c>
      <c r="C135" s="68" t="s">
        <v>611</v>
      </c>
    </row>
    <row r="136" spans="1:3" ht="51.75" customHeight="1" x14ac:dyDescent="0.3">
      <c r="A136" s="1"/>
      <c r="B136" s="7" t="s">
        <v>612</v>
      </c>
      <c r="C136" s="68" t="s">
        <v>613</v>
      </c>
    </row>
    <row r="137" spans="1:3" ht="15.75" customHeight="1" x14ac:dyDescent="0.3">
      <c r="A137" s="1"/>
      <c r="B137" s="1"/>
      <c r="C137" s="69" t="s">
        <v>707</v>
      </c>
    </row>
    <row r="138" spans="1:3" ht="15.75" customHeight="1" x14ac:dyDescent="0.3">
      <c r="A138" s="1"/>
      <c r="B138" s="1"/>
      <c r="C138" s="69" t="s">
        <v>708</v>
      </c>
    </row>
    <row r="139" spans="1:3" ht="15.75" customHeight="1" x14ac:dyDescent="0.3">
      <c r="A139" s="1"/>
      <c r="B139" s="1"/>
      <c r="C139" s="69" t="s">
        <v>709</v>
      </c>
    </row>
    <row r="140" spans="1:3" ht="78" customHeight="1" x14ac:dyDescent="0.3">
      <c r="A140" s="1"/>
      <c r="B140" s="7" t="s">
        <v>614</v>
      </c>
      <c r="C140" s="68" t="s">
        <v>615</v>
      </c>
    </row>
    <row r="141" spans="1:3" ht="103.5" customHeight="1" x14ac:dyDescent="0.3">
      <c r="A141" s="1"/>
      <c r="B141" s="7" t="s">
        <v>616</v>
      </c>
      <c r="C141" s="68" t="s">
        <v>617</v>
      </c>
    </row>
    <row r="142" spans="1:3" ht="51.75" customHeight="1" x14ac:dyDescent="0.3">
      <c r="A142" s="1"/>
      <c r="B142" s="7" t="s">
        <v>618</v>
      </c>
      <c r="C142" s="68" t="s">
        <v>619</v>
      </c>
    </row>
    <row r="143" spans="1:3" ht="51.75" customHeight="1" x14ac:dyDescent="0.3">
      <c r="A143" s="1"/>
      <c r="B143" s="7" t="s">
        <v>620</v>
      </c>
      <c r="C143" s="68" t="s">
        <v>621</v>
      </c>
    </row>
    <row r="144" spans="1:3" ht="39" customHeight="1" x14ac:dyDescent="0.3">
      <c r="A144" s="1"/>
      <c r="B144" s="7" t="s">
        <v>622</v>
      </c>
      <c r="C144" s="68" t="s">
        <v>623</v>
      </c>
    </row>
    <row r="145" spans="1:3" x14ac:dyDescent="0.3">
      <c r="A145" s="1"/>
      <c r="B145" s="1"/>
      <c r="C145" s="1"/>
    </row>
    <row r="146" spans="1:3" x14ac:dyDescent="0.3">
      <c r="A146" s="1"/>
      <c r="B146" s="1"/>
      <c r="C146" s="1"/>
    </row>
    <row r="147" spans="1:3" x14ac:dyDescent="0.3">
      <c r="A147" s="1"/>
      <c r="B147" s="3" t="s">
        <v>624</v>
      </c>
      <c r="C147" s="1"/>
    </row>
    <row r="148" spans="1:3" ht="25.5" customHeight="1" x14ac:dyDescent="0.3">
      <c r="A148" s="1"/>
      <c r="B148" s="7" t="s">
        <v>625</v>
      </c>
      <c r="C148" s="68" t="s">
        <v>626</v>
      </c>
    </row>
    <row r="149" spans="1:3" ht="39" customHeight="1" x14ac:dyDescent="0.3">
      <c r="A149" s="1"/>
      <c r="B149" s="7" t="s">
        <v>627</v>
      </c>
      <c r="C149" s="68" t="s">
        <v>628</v>
      </c>
    </row>
    <row r="150" spans="1:3" ht="51.75" customHeight="1" x14ac:dyDescent="0.3">
      <c r="A150" s="1"/>
      <c r="B150" s="7" t="s">
        <v>629</v>
      </c>
      <c r="C150" s="68" t="s">
        <v>630</v>
      </c>
    </row>
    <row r="151" spans="1:3" ht="39" customHeight="1" x14ac:dyDescent="0.3">
      <c r="A151" s="1"/>
      <c r="B151" s="7" t="s">
        <v>631</v>
      </c>
      <c r="C151" s="68" t="s">
        <v>632</v>
      </c>
    </row>
    <row r="152" spans="1:3" ht="39" customHeight="1" x14ac:dyDescent="0.3">
      <c r="A152" s="1"/>
      <c r="B152" s="7" t="s">
        <v>633</v>
      </c>
      <c r="C152" s="68" t="s">
        <v>634</v>
      </c>
    </row>
    <row r="153" spans="1:3" ht="39" customHeight="1" x14ac:dyDescent="0.3">
      <c r="A153" s="1"/>
      <c r="B153" s="7" t="s">
        <v>635</v>
      </c>
      <c r="C153" s="68" t="s">
        <v>636</v>
      </c>
    </row>
    <row r="154" spans="1:3" x14ac:dyDescent="0.3">
      <c r="A154" s="1"/>
      <c r="B154" s="1"/>
      <c r="C154" s="1"/>
    </row>
    <row r="155" spans="1:3" x14ac:dyDescent="0.3">
      <c r="A155" s="1"/>
      <c r="B155" s="1"/>
      <c r="C155" s="1"/>
    </row>
    <row r="156" spans="1:3" x14ac:dyDescent="0.3">
      <c r="A156" s="1"/>
      <c r="B156" s="3" t="s">
        <v>637</v>
      </c>
      <c r="C156" s="1"/>
    </row>
    <row r="157" spans="1:3" ht="25.5" customHeight="1" x14ac:dyDescent="0.3">
      <c r="A157" s="1"/>
      <c r="B157" s="7" t="s">
        <v>638</v>
      </c>
      <c r="C157" s="68" t="s">
        <v>639</v>
      </c>
    </row>
    <row r="158" spans="1:3" ht="39" customHeight="1" x14ac:dyDescent="0.3">
      <c r="A158" s="1"/>
      <c r="B158" s="7" t="s">
        <v>640</v>
      </c>
      <c r="C158" s="68" t="s">
        <v>641</v>
      </c>
    </row>
    <row r="159" spans="1:3" ht="25.5" customHeight="1" x14ac:dyDescent="0.3">
      <c r="A159" s="1"/>
      <c r="B159" s="7" t="s">
        <v>642</v>
      </c>
      <c r="C159" s="68" t="s">
        <v>643</v>
      </c>
    </row>
    <row r="160" spans="1:3" ht="25.5" customHeight="1" x14ac:dyDescent="0.3">
      <c r="A160" s="1"/>
      <c r="B160" s="7" t="s">
        <v>644</v>
      </c>
      <c r="C160" s="68" t="s">
        <v>645</v>
      </c>
    </row>
    <row r="161" spans="1:3" ht="25.5" customHeight="1" x14ac:dyDescent="0.3">
      <c r="A161" s="1"/>
      <c r="B161" s="7" t="s">
        <v>646</v>
      </c>
      <c r="C161" s="68" t="s">
        <v>647</v>
      </c>
    </row>
    <row r="162" spans="1:3" ht="25.5" customHeight="1" x14ac:dyDescent="0.3">
      <c r="A162" s="1"/>
      <c r="B162" s="7" t="s">
        <v>648</v>
      </c>
      <c r="C162" s="68" t="s">
        <v>649</v>
      </c>
    </row>
    <row r="163" spans="1:3" x14ac:dyDescent="0.3">
      <c r="A163" s="1"/>
      <c r="B163" s="1"/>
      <c r="C163" s="1"/>
    </row>
    <row r="164" spans="1:3" x14ac:dyDescent="0.3">
      <c r="A164" s="1"/>
      <c r="B164" s="1"/>
      <c r="C164" s="1"/>
    </row>
    <row r="165" spans="1:3" x14ac:dyDescent="0.3">
      <c r="A165" s="1"/>
      <c r="B165" s="3" t="s">
        <v>650</v>
      </c>
      <c r="C165" s="1"/>
    </row>
    <row r="166" spans="1:3" ht="39" customHeight="1" x14ac:dyDescent="0.3">
      <c r="A166" s="1"/>
      <c r="B166" s="1"/>
      <c r="C166" s="68" t="s">
        <v>651</v>
      </c>
    </row>
  </sheetData>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15</vt:i4>
      </vt:variant>
    </vt:vector>
  </HeadingPairs>
  <TitlesOfParts>
    <vt:vector size="29" baseType="lpstr">
      <vt:lpstr>Cover</vt:lpstr>
      <vt:lpstr>Raw Data</vt:lpstr>
      <vt:lpstr>Data Validation</vt:lpstr>
      <vt:lpstr>Parameters</vt:lpstr>
      <vt:lpstr>Dev Factors</vt:lpstr>
      <vt:lpstr>S1 Chain Ladder</vt:lpstr>
      <vt:lpstr>On-Level &amp; Cred</vt:lpstr>
      <vt:lpstr>S2 Expected Claims</vt:lpstr>
      <vt:lpstr>S3 BF</vt:lpstr>
      <vt:lpstr>Extension</vt:lpstr>
      <vt:lpstr>ADC</vt:lpstr>
      <vt:lpstr>Summary</vt:lpstr>
      <vt:lpstr>Checks</vt:lpstr>
      <vt:lpstr>Audit Trail</vt:lpstr>
      <vt:lpstr>ADC_att</vt:lpstr>
      <vt:lpstr>ADC_exh</vt:lpstr>
      <vt:lpstr>ADC_rol</vt:lpstr>
      <vt:lpstr>Cred_full</vt:lpstr>
      <vt:lpstr>Cred_mature</vt:lpstr>
      <vt:lpstr>Disc_rate</vt:lpstr>
      <vt:lpstr>Exp_ratio</vt:lpstr>
      <vt:lpstr>Ext_shock</vt:lpstr>
      <vt:lpstr>Ext_tail</vt:lpstr>
      <vt:lpstr>Ext_taillag</vt:lpstr>
      <vt:lpstr>Loss_trend</vt:lpstr>
      <vt:lpstr>Plan_LR</vt:lpstr>
      <vt:lpstr>Val_rate_max</vt:lpstr>
      <vt:lpstr>Val_rate_min</vt:lpstr>
      <vt:lpstr>Val_ratio_max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PG-Sudarmo, Ardi Wira</cp:lastModifiedBy>
  <cp:revision>1</cp:revision>
  <dcterms:created xsi:type="dcterms:W3CDTF">2026-08-24T15:26:49Z</dcterms:created>
  <dcterms:modified xsi:type="dcterms:W3CDTF">2026-08-28T11:24:19Z</dcterms:modified>
  <dc:language>en-US</dc:language>
</cp:coreProperties>
</file>